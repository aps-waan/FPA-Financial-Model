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gamp\Desktop\FP&amp;A\"/>
    </mc:Choice>
  </mc:AlternateContent>
  <xr:revisionPtr revIDLastSave="0" documentId="13_ncr:20001_{C06D5F4C-2805-4D30-86A7-5098659F7C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ements" sheetId="1" r:id="rId1"/>
    <sheet name="Sensitivity Analysis" sheetId="2" r:id="rId2"/>
    <sheet name="Debt Schedule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4" i="1" l="1"/>
  <c r="D129" i="1" s="1"/>
  <c r="B4" i="3"/>
  <c r="C7" i="2"/>
  <c r="C8" i="2"/>
  <c r="E8" i="2"/>
  <c r="D8" i="2"/>
  <c r="E7" i="2"/>
  <c r="D7" i="2"/>
  <c r="E6" i="2"/>
  <c r="D6" i="2"/>
  <c r="C6" i="2"/>
  <c r="G12" i="3"/>
  <c r="F12" i="3"/>
  <c r="E12" i="3"/>
  <c r="D12" i="3"/>
  <c r="C12" i="3"/>
  <c r="B12" i="3"/>
  <c r="H120" i="1"/>
  <c r="G120" i="1"/>
  <c r="F120" i="1"/>
  <c r="E120" i="1"/>
  <c r="D120" i="1"/>
  <c r="H119" i="1"/>
  <c r="G119" i="1"/>
  <c r="F119" i="1"/>
  <c r="E119" i="1"/>
  <c r="D119" i="1"/>
  <c r="H118" i="1"/>
  <c r="G118" i="1"/>
  <c r="F118" i="1"/>
  <c r="E118" i="1"/>
  <c r="D118" i="1"/>
  <c r="D115" i="1"/>
  <c r="H103" i="1"/>
  <c r="G103" i="1"/>
  <c r="F103" i="1"/>
  <c r="E103" i="1"/>
  <c r="D103" i="1"/>
  <c r="D102" i="1"/>
  <c r="C92" i="1" a="1"/>
  <c r="C89" i="1"/>
  <c r="D81" i="1"/>
  <c r="D130" i="1" s="1"/>
  <c r="D11" i="1" s="1"/>
  <c r="E79" i="1"/>
  <c r="H77" i="1"/>
  <c r="G77" i="1"/>
  <c r="F77" i="1"/>
  <c r="E77" i="1"/>
  <c r="D77" i="1"/>
  <c r="B77" i="1"/>
  <c r="H76" i="1"/>
  <c r="G76" i="1"/>
  <c r="F76" i="1"/>
  <c r="E76" i="1"/>
  <c r="D76" i="1"/>
  <c r="B76" i="1"/>
  <c r="H75" i="1"/>
  <c r="G75" i="1"/>
  <c r="F75" i="1"/>
  <c r="E75" i="1"/>
  <c r="D75" i="1"/>
  <c r="B75" i="1"/>
  <c r="D57" i="1"/>
  <c r="H54" i="1"/>
  <c r="G54" i="1"/>
  <c r="F54" i="1"/>
  <c r="E54" i="1"/>
  <c r="D54" i="1"/>
  <c r="H53" i="1"/>
  <c r="G53" i="1"/>
  <c r="F53" i="1"/>
  <c r="E53" i="1"/>
  <c r="D53" i="1"/>
  <c r="H51" i="1"/>
  <c r="H55" i="1" s="1"/>
  <c r="H48" i="1"/>
  <c r="H49" i="1" s="1"/>
  <c r="H117" i="1" s="1"/>
  <c r="G48" i="1"/>
  <c r="G49" i="1" s="1"/>
  <c r="G117" i="1" s="1"/>
  <c r="F48" i="1"/>
  <c r="F49" i="1" s="1"/>
  <c r="F117" i="1" s="1"/>
  <c r="E48" i="1"/>
  <c r="E49" i="1" s="1"/>
  <c r="E117" i="1" s="1"/>
  <c r="D48" i="1"/>
  <c r="D49" i="1" s="1"/>
  <c r="D117" i="1" s="1"/>
  <c r="C33" i="1"/>
  <c r="E29" i="1"/>
  <c r="D29" i="1"/>
  <c r="C27" i="1"/>
  <c r="C30" i="1" s="1"/>
  <c r="C21" i="1"/>
  <c r="C23" i="1" s="1"/>
  <c r="F19" i="1"/>
  <c r="D17" i="1"/>
  <c r="E17" i="1" s="1"/>
  <c r="H5" i="1"/>
  <c r="H19" i="1" s="1"/>
  <c r="G5" i="1"/>
  <c r="G19" i="1" s="1"/>
  <c r="G43" i="1" s="1"/>
  <c r="F5" i="1"/>
  <c r="E5" i="1"/>
  <c r="E19" i="1" s="1"/>
  <c r="F43" i="1" s="1"/>
  <c r="D5" i="1"/>
  <c r="D4" i="1"/>
  <c r="H43" i="1" l="1"/>
  <c r="B7" i="3"/>
  <c r="C4" i="3" s="1"/>
  <c r="B11" i="3"/>
  <c r="B13" i="3" s="1"/>
  <c r="C96" i="1"/>
  <c r="H96" i="1" s="1"/>
  <c r="C92" i="1"/>
  <c r="C93" i="1"/>
  <c r="C94" i="1"/>
  <c r="C95" i="1"/>
  <c r="D98" i="1"/>
  <c r="D51" i="1"/>
  <c r="D55" i="1" s="1"/>
  <c r="F79" i="1"/>
  <c r="E51" i="1" s="1"/>
  <c r="E55" i="1" s="1"/>
  <c r="E81" i="1"/>
  <c r="D108" i="1"/>
  <c r="C34" i="1"/>
  <c r="C36" i="1" s="1"/>
  <c r="C38" i="1" s="1"/>
  <c r="F17" i="1"/>
  <c r="E4" i="1"/>
  <c r="H6" i="1"/>
  <c r="H7" i="1" s="1"/>
  <c r="H8" i="1"/>
  <c r="G6" i="1"/>
  <c r="G7" i="1" s="1"/>
  <c r="G8" i="1"/>
  <c r="F6" i="1"/>
  <c r="F7" i="1" s="1"/>
  <c r="F8" i="1"/>
  <c r="E6" i="1"/>
  <c r="E7" i="1" s="1"/>
  <c r="E8" i="1"/>
  <c r="D6" i="1"/>
  <c r="D7" i="1" s="1"/>
  <c r="D8" i="1"/>
  <c r="D19" i="1"/>
  <c r="C7" i="3" l="1"/>
  <c r="D4" i="3" s="1"/>
  <c r="C11" i="3"/>
  <c r="C13" i="3" s="1"/>
  <c r="D92" i="1"/>
  <c r="D99" i="1" s="1"/>
  <c r="D100" i="1" s="1"/>
  <c r="E92" i="1"/>
  <c r="F92" i="1"/>
  <c r="G92" i="1"/>
  <c r="H92" i="1"/>
  <c r="E93" i="1"/>
  <c r="F93" i="1"/>
  <c r="G93" i="1"/>
  <c r="H93" i="1"/>
  <c r="F94" i="1"/>
  <c r="G94" i="1"/>
  <c r="H94" i="1"/>
  <c r="G95" i="1"/>
  <c r="H95" i="1"/>
  <c r="E98" i="1"/>
  <c r="G79" i="1"/>
  <c r="F81" i="1"/>
  <c r="F29" i="1"/>
  <c r="F51" i="1"/>
  <c r="F55" i="1" s="1"/>
  <c r="G17" i="1"/>
  <c r="F4" i="1"/>
  <c r="H20" i="1"/>
  <c r="H25" i="1"/>
  <c r="G25" i="1"/>
  <c r="G20" i="1"/>
  <c r="F25" i="1"/>
  <c r="F20" i="1"/>
  <c r="E20" i="1"/>
  <c r="E25" i="1"/>
  <c r="D20" i="1"/>
  <c r="D44" i="1" s="1"/>
  <c r="D25" i="1"/>
  <c r="E43" i="1"/>
  <c r="D43" i="1"/>
  <c r="F44" i="1" l="1"/>
  <c r="E44" i="1"/>
  <c r="D7" i="3"/>
  <c r="E4" i="3" s="1"/>
  <c r="D11" i="3"/>
  <c r="D13" i="3" s="1"/>
  <c r="F98" i="1"/>
  <c r="D89" i="1"/>
  <c r="D104" i="1"/>
  <c r="D105" i="1" s="1"/>
  <c r="D9" i="1"/>
  <c r="D10" i="1" s="1"/>
  <c r="D12" i="1" s="1"/>
  <c r="D42" i="1"/>
  <c r="H79" i="1"/>
  <c r="G81" i="1"/>
  <c r="G51" i="1"/>
  <c r="G55" i="1" s="1"/>
  <c r="G29" i="1"/>
  <c r="H17" i="1"/>
  <c r="H4" i="1" s="1"/>
  <c r="G4" i="1"/>
  <c r="H45" i="1"/>
  <c r="G45" i="1"/>
  <c r="F45" i="1"/>
  <c r="E45" i="1"/>
  <c r="D45" i="1"/>
  <c r="H99" i="1"/>
  <c r="F99" i="1"/>
  <c r="H44" i="1"/>
  <c r="E99" i="1"/>
  <c r="E100" i="1" s="1"/>
  <c r="G99" i="1"/>
  <c r="G44" i="1"/>
  <c r="E7" i="3" l="1"/>
  <c r="F4" i="3" s="1"/>
  <c r="E11" i="3"/>
  <c r="E13" i="3" s="1"/>
  <c r="G98" i="1"/>
  <c r="F100" i="1"/>
  <c r="E104" i="1"/>
  <c r="E9" i="1"/>
  <c r="E10" i="1" s="1"/>
  <c r="E42" i="1"/>
  <c r="E102" i="1"/>
  <c r="E105" i="1" s="1"/>
  <c r="D22" i="1"/>
  <c r="D13" i="1"/>
  <c r="D14" i="1" s="1"/>
  <c r="H81" i="1"/>
  <c r="H29" i="1"/>
  <c r="E89" i="1"/>
  <c r="F89" i="1" l="1"/>
  <c r="F7" i="3"/>
  <c r="G4" i="3" s="1"/>
  <c r="F11" i="3"/>
  <c r="F13" i="3" s="1"/>
  <c r="H98" i="1"/>
  <c r="H100" i="1" s="1"/>
  <c r="G100" i="1"/>
  <c r="F104" i="1"/>
  <c r="F9" i="1"/>
  <c r="F10" i="1" s="1"/>
  <c r="F42" i="1"/>
  <c r="E22" i="1"/>
  <c r="F102" i="1"/>
  <c r="F105" i="1" s="1"/>
  <c r="D41" i="1"/>
  <c r="D46" i="1" s="1"/>
  <c r="D109" i="1"/>
  <c r="D111" i="1" s="1"/>
  <c r="G7" i="3" l="1"/>
  <c r="G11" i="3"/>
  <c r="G13" i="3" s="1"/>
  <c r="H104" i="1"/>
  <c r="H9" i="1"/>
  <c r="H10" i="1" s="1"/>
  <c r="H42" i="1"/>
  <c r="G89" i="1"/>
  <c r="H89" i="1" s="1"/>
  <c r="G104" i="1"/>
  <c r="G9" i="1"/>
  <c r="G10" i="1" s="1"/>
  <c r="G42" i="1"/>
  <c r="F22" i="1"/>
  <c r="G102" i="1"/>
  <c r="D58" i="1"/>
  <c r="D59" i="1" s="1"/>
  <c r="D116" i="1"/>
  <c r="D121" i="1" s="1"/>
  <c r="E108" i="1"/>
  <c r="D33" i="1"/>
  <c r="D34" i="1" s="1"/>
  <c r="G105" i="1" l="1"/>
  <c r="E115" i="1"/>
  <c r="D125" i="1"/>
  <c r="D126" i="1" s="1"/>
  <c r="E57" i="1"/>
  <c r="D18" i="1"/>
  <c r="D21" i="1" s="1"/>
  <c r="D23" i="1" s="1"/>
  <c r="G22" i="1" l="1"/>
  <c r="H102" i="1"/>
  <c r="H105" i="1" s="1"/>
  <c r="H22" i="1" s="1"/>
  <c r="D26" i="1"/>
  <c r="D27" i="1" s="1"/>
  <c r="D30" i="1" s="1"/>
  <c r="D36" i="1" s="1"/>
  <c r="D38" i="1" s="1"/>
  <c r="E124" i="1"/>
  <c r="E129" i="1" l="1"/>
  <c r="E130" i="1" s="1"/>
  <c r="E11" i="1" s="1"/>
  <c r="E12" i="1" s="1"/>
  <c r="E13" i="1" s="1"/>
  <c r="E14" i="1" s="1"/>
  <c r="E109" i="1" l="1"/>
  <c r="E111" i="1" s="1"/>
  <c r="E41" i="1"/>
  <c r="E46" i="1" s="1"/>
  <c r="F108" i="1" l="1"/>
  <c r="E33" i="1"/>
  <c r="E34" i="1" s="1"/>
  <c r="E116" i="1"/>
  <c r="E121" i="1" s="1"/>
  <c r="E58" i="1"/>
  <c r="E59" i="1" s="1"/>
  <c r="E125" i="1" l="1"/>
  <c r="E126" i="1" s="1"/>
  <c r="F115" i="1"/>
  <c r="F57" i="1"/>
  <c r="E18" i="1"/>
  <c r="E21" i="1" s="1"/>
  <c r="E23" i="1" s="1"/>
  <c r="E26" i="1" l="1"/>
  <c r="E27" i="1" s="1"/>
  <c r="E30" i="1" s="1"/>
  <c r="E36" i="1" s="1"/>
  <c r="E38" i="1" s="1"/>
  <c r="F124" i="1"/>
  <c r="F129" i="1" s="1"/>
  <c r="F130" i="1" s="1"/>
  <c r="F11" i="1" s="1"/>
  <c r="F12" i="1" s="1"/>
  <c r="F13" i="1" s="1"/>
  <c r="F14" i="1" s="1"/>
  <c r="F109" i="1" l="1"/>
  <c r="F111" i="1" s="1"/>
  <c r="F41" i="1"/>
  <c r="F46" i="1" s="1"/>
  <c r="F33" i="1" l="1"/>
  <c r="F34" i="1" s="1"/>
  <c r="G108" i="1"/>
  <c r="F116" i="1"/>
  <c r="F121" i="1" s="1"/>
  <c r="F58" i="1"/>
  <c r="F59" i="1" s="1"/>
  <c r="F125" i="1" l="1"/>
  <c r="F126" i="1" s="1"/>
  <c r="G115" i="1"/>
  <c r="G57" i="1"/>
  <c r="F18" i="1"/>
  <c r="F21" i="1" s="1"/>
  <c r="F23" i="1" s="1"/>
  <c r="F26" i="1" l="1"/>
  <c r="F27" i="1" s="1"/>
  <c r="F30" i="1" s="1"/>
  <c r="F36" i="1" s="1"/>
  <c r="F38" i="1" s="1"/>
  <c r="G124" i="1"/>
  <c r="G129" i="1" s="1"/>
  <c r="G130" i="1" s="1"/>
  <c r="G11" i="1" s="1"/>
  <c r="G12" i="1" s="1"/>
  <c r="G13" i="1" s="1"/>
  <c r="G14" i="1" s="1"/>
  <c r="G109" i="1" l="1"/>
  <c r="G111" i="1" s="1"/>
  <c r="G41" i="1"/>
  <c r="G46" i="1" s="1"/>
  <c r="H108" i="1" l="1"/>
  <c r="G33" i="1"/>
  <c r="G34" i="1" s="1"/>
  <c r="G116" i="1"/>
  <c r="G121" i="1" s="1"/>
  <c r="G58" i="1"/>
  <c r="G59" i="1" s="1"/>
  <c r="G125" i="1" l="1"/>
  <c r="G126" i="1" s="1"/>
  <c r="H115" i="1"/>
  <c r="G18" i="1"/>
  <c r="G21" i="1" s="1"/>
  <c r="G23" i="1" s="1"/>
  <c r="H57" i="1"/>
  <c r="G26" i="1" l="1"/>
  <c r="G27" i="1" s="1"/>
  <c r="G30" i="1" s="1"/>
  <c r="G36" i="1" s="1"/>
  <c r="G38" i="1" s="1"/>
  <c r="H124" i="1"/>
  <c r="H129" i="1" s="1"/>
  <c r="H130" i="1" s="1"/>
  <c r="H11" i="1" s="1"/>
  <c r="H12" i="1" s="1"/>
  <c r="H13" i="1" s="1"/>
  <c r="H14" i="1" s="1"/>
  <c r="C134" i="1" l="1"/>
  <c r="H109" i="1"/>
  <c r="H111" i="1" s="1"/>
  <c r="H33" i="1" s="1"/>
  <c r="H34" i="1" s="1"/>
  <c r="H41" i="1"/>
  <c r="H46" i="1" s="1"/>
  <c r="D3" i="2"/>
  <c r="H116" i="1" l="1"/>
  <c r="H121" i="1" s="1"/>
  <c r="H125" i="1" s="1"/>
  <c r="H126" i="1" s="1"/>
  <c r="H26" i="1" s="1"/>
  <c r="H27" i="1" s="1"/>
  <c r="H30" i="1" s="1"/>
  <c r="H36" i="1" s="1"/>
  <c r="H38" i="1" s="1"/>
  <c r="H58" i="1"/>
  <c r="H59" i="1" s="1"/>
  <c r="H18" i="1" s="1"/>
  <c r="H21" i="1" s="1"/>
  <c r="H23" i="1" s="1"/>
</calcChain>
</file>

<file path=xl/sharedStrings.xml><?xml version="1.0" encoding="utf-8"?>
<sst xmlns="http://schemas.openxmlformats.org/spreadsheetml/2006/main" count="141" uniqueCount="112">
  <si>
    <t>Financial Statements</t>
  </si>
  <si>
    <t>X</t>
  </si>
  <si>
    <t>Income Statement</t>
  </si>
  <si>
    <t>Figures in USD millions</t>
  </si>
  <si>
    <t>Revenue</t>
  </si>
  <si>
    <t>COGS</t>
  </si>
  <si>
    <t>Gross Profit</t>
  </si>
  <si>
    <t>SG&amp;A</t>
  </si>
  <si>
    <t>Depreciation</t>
  </si>
  <si>
    <t>Operating Profit</t>
  </si>
  <si>
    <t>Interest</t>
  </si>
  <si>
    <t>Earnings Before Tax</t>
  </si>
  <si>
    <t>Taxes</t>
  </si>
  <si>
    <t>Net Income</t>
  </si>
  <si>
    <t>Balance Sheet</t>
  </si>
  <si>
    <t>Figures in USD</t>
  </si>
  <si>
    <t>Cash &amp; Cash Equivalents</t>
  </si>
  <si>
    <t>CFS</t>
  </si>
  <si>
    <t>Accounts Receivable</t>
  </si>
  <si>
    <t>Inventory</t>
  </si>
  <si>
    <t>Total Current Assets</t>
  </si>
  <si>
    <t>Property Plant &amp; Equipment (PPE)</t>
  </si>
  <si>
    <t>FA Schedule</t>
  </si>
  <si>
    <t>Total Assets</t>
  </si>
  <si>
    <t>Accounts Payable</t>
  </si>
  <si>
    <t>Revolver</t>
  </si>
  <si>
    <t>Revolver Schedule</t>
  </si>
  <si>
    <t>Total Current Liabilities</t>
  </si>
  <si>
    <t>Long Term Debt</t>
  </si>
  <si>
    <t>Total Liabilities</t>
  </si>
  <si>
    <t>Common stock</t>
  </si>
  <si>
    <t>Share capital = No. of equity shares * Face Value per share</t>
  </si>
  <si>
    <t>Retained Earnings</t>
  </si>
  <si>
    <t>RE Schedule</t>
  </si>
  <si>
    <t>Total Shareholders' Equity</t>
  </si>
  <si>
    <t>Total Liabilities &amp; Equity</t>
  </si>
  <si>
    <t>Balance Sheet Check</t>
  </si>
  <si>
    <t>Cash Flow Statement</t>
  </si>
  <si>
    <t>Change in Accounts Receivable</t>
  </si>
  <si>
    <t>Change in Inventory</t>
  </si>
  <si>
    <t>Change in Accounts Payable</t>
  </si>
  <si>
    <t>Cash Flow from Operating Activities</t>
  </si>
  <si>
    <t>Capital Expenditures</t>
  </si>
  <si>
    <t>Cash Flow from Investing Activities</t>
  </si>
  <si>
    <t>Change in LT Debt</t>
  </si>
  <si>
    <t>Change in Revolver</t>
  </si>
  <si>
    <t>Change in Common Stock</t>
  </si>
  <si>
    <t>Dividends</t>
  </si>
  <si>
    <t>Cash Flow from Financing Activities</t>
  </si>
  <si>
    <t>Beginning of Year Cash Balance</t>
  </si>
  <si>
    <t>Change in Cash</t>
  </si>
  <si>
    <t>End of Year Cash Balance</t>
  </si>
  <si>
    <t>Assumptions</t>
  </si>
  <si>
    <t>Income Statement Assumptions</t>
  </si>
  <si>
    <t>Units Sold</t>
  </si>
  <si>
    <t>Price per Unit</t>
  </si>
  <si>
    <t>COGS as a % of Rev</t>
  </si>
  <si>
    <t>SG&amp;A as a % of Rev</t>
  </si>
  <si>
    <t>Tax Rate</t>
  </si>
  <si>
    <t xml:space="preserve">COGS </t>
  </si>
  <si>
    <t>Balance Sheet Assumptions</t>
  </si>
  <si>
    <t>AR=x% of revenue</t>
  </si>
  <si>
    <t>Inventory = x% of COGS</t>
  </si>
  <si>
    <t>AP = x% of COGS</t>
  </si>
  <si>
    <t>Interest Expense %</t>
  </si>
  <si>
    <t>Interest Expense</t>
  </si>
  <si>
    <t>Supporting Schedules</t>
  </si>
  <si>
    <t>Fixed Assets Schedule</t>
  </si>
  <si>
    <t>Capex</t>
  </si>
  <si>
    <t>Existing Assets Useful Life (years)</t>
  </si>
  <si>
    <t>New Assets Useful Life (years)</t>
  </si>
  <si>
    <t>PP&amp;E 2025 EOP</t>
  </si>
  <si>
    <t>Dep Methods</t>
  </si>
  <si>
    <t>1. SLM = VALUE OF ASSET - SCRAP VALUE / USEFUL LIFE OF ASSET</t>
  </si>
  <si>
    <t>2. WDV = VALUE OF ASSET x % OF DEP</t>
  </si>
  <si>
    <t>Existing Asset Depreciation</t>
  </si>
  <si>
    <t>New Assets Depreciation</t>
  </si>
  <si>
    <t>Total Depreciation</t>
  </si>
  <si>
    <t>Beginning PPE</t>
  </si>
  <si>
    <t>Last year's closing balance will be the opening blance for the next year</t>
  </si>
  <si>
    <t>Ending PPE</t>
  </si>
  <si>
    <t>Retained Earnings Schedule</t>
  </si>
  <si>
    <t>Beginning of Period RE</t>
  </si>
  <si>
    <t>End of Period RE</t>
  </si>
  <si>
    <t>Available Cash</t>
  </si>
  <si>
    <t>Beginning Cash Balance</t>
  </si>
  <si>
    <t>Cash from operations</t>
  </si>
  <si>
    <t>Cash from Investing</t>
  </si>
  <si>
    <t>Cash Available for Revolver</t>
  </si>
  <si>
    <t>Beginning Balance</t>
  </si>
  <si>
    <t>Ending Balance</t>
  </si>
  <si>
    <t>Revolver Interest Rate</t>
  </si>
  <si>
    <t>Total Interest Expense</t>
  </si>
  <si>
    <t>NET INCOME SENSTIVITY ANALYSIS</t>
  </si>
  <si>
    <t>BASE NET INCOME</t>
  </si>
  <si>
    <t>NET INCOME SENSITIVITY ANALYSIS</t>
  </si>
  <si>
    <t>Units Sold Sensitivity</t>
  </si>
  <si>
    <t>COGS %</t>
  </si>
  <si>
    <t>37%</t>
  </si>
  <si>
    <t>38% (Base)</t>
  </si>
  <si>
    <t>39%</t>
  </si>
  <si>
    <t>490</t>
  </si>
  <si>
    <t>500 (Base)</t>
  </si>
  <si>
    <t>510</t>
  </si>
  <si>
    <t>LONG TERM DEBT SCHEDULE</t>
  </si>
  <si>
    <t>Description</t>
  </si>
  <si>
    <t>Debt Issuance</t>
  </si>
  <si>
    <t>Principal Repayment</t>
  </si>
  <si>
    <t>INTEREST EXPENSE SCHEDULE</t>
  </si>
  <si>
    <t>Beginning Debt Balance</t>
  </si>
  <si>
    <t>Interest Rate</t>
  </si>
  <si>
    <t>CALCULATIONS FOR SENSTIVITY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</si>
</sst>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\A"/>
    <numFmt numFmtId="165" formatCode="0\F"/>
    <numFmt numFmtId="166" formatCode="_(#,##0_);\(#,##0\);_(&quot;–&quot;_);_(@_)"/>
    <numFmt numFmtId="167" formatCode="0.0%"/>
    <numFmt numFmtId="168" formatCode="&quot;₹&quot;\ #,##0.00"/>
    <numFmt numFmtId="170" formatCode="\₹#,##0"/>
  </numFmts>
  <fonts count="2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b/>
      <sz val="2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theme="1"/>
      <name val="Aptos"/>
      <family val="2"/>
    </font>
    <font>
      <sz val="11"/>
      <color rgb="FF006100"/>
      <name val="Calibri"/>
      <family val="2"/>
      <scheme val="minor"/>
    </font>
    <font>
      <b/>
      <sz val="13"/>
      <color rgb="FF666666"/>
      <name val="Calibri"/>
      <family val="2"/>
      <scheme val="minor"/>
    </font>
    <font>
      <b/>
      <sz val="18"/>
      <color rgb="FFFFFFFF"/>
      <name val="Calibri"/>
    </font>
    <font>
      <b/>
      <sz val="18"/>
      <color rgb="FFFFFFFF"/>
      <name val="Calibri"/>
      <scheme val="minor"/>
    </font>
    <font>
      <b/>
      <sz val="14"/>
      <color rgb="FF222222"/>
      <name val="Calibri"/>
      <scheme val="minor"/>
    </font>
    <font>
      <b/>
      <sz val="13"/>
      <color rgb="FFFFFFFF"/>
      <name val="Calibri"/>
    </font>
    <font>
      <sz val="13"/>
      <color rgb="FF222222"/>
      <name val="Calibri"/>
      <scheme val="minor"/>
    </font>
    <font>
      <b/>
      <sz val="13"/>
      <color rgb="FF000000"/>
      <name val="Calibri"/>
      <scheme val="minor"/>
    </font>
    <font>
      <b/>
      <sz val="11"/>
      <color rgb="FF006100"/>
      <name val="Calibri"/>
      <family val="2"/>
      <scheme val="minor"/>
    </font>
    <font>
      <b/>
      <sz val="18"/>
      <color rgb="FFFFFFFF"/>
      <name val="Calibri"/>
      <family val="2"/>
    </font>
    <font>
      <b/>
      <sz val="18"/>
      <color rgb="FFFFFFFF"/>
      <name val="Calibri"/>
      <family val="2"/>
      <scheme val="minor"/>
    </font>
    <font>
      <b/>
      <sz val="13"/>
      <color rgb="FFFFFFFF"/>
      <name val="Calibri"/>
      <family val="2"/>
    </font>
    <font>
      <sz val="12"/>
      <color rgb="FF0070C0"/>
      <name val="Calibri"/>
      <family val="2"/>
      <scheme val="minor"/>
    </font>
    <font>
      <b/>
      <sz val="14"/>
      <color rgb="FF1D2330"/>
      <name val="Calibri"/>
      <family val="2"/>
    </font>
    <font>
      <b/>
      <sz val="14"/>
      <color rgb="FF1D233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1D2330"/>
      </bottom>
      <diagonal/>
    </border>
    <border>
      <left style="thin">
        <color rgb="FF17365D"/>
      </left>
      <right/>
      <top style="thin">
        <color rgb="FF17365D"/>
      </top>
      <bottom/>
      <diagonal/>
    </border>
    <border>
      <left style="thin">
        <color rgb="FF17365D"/>
      </left>
      <right/>
      <top style="thin">
        <color rgb="FF17365D"/>
      </top>
      <bottom style="thin">
        <color auto="1"/>
      </bottom>
      <diagonal/>
    </border>
    <border>
      <left style="thin">
        <color rgb="FF17365D"/>
      </left>
      <right/>
      <top style="thin">
        <color auto="1"/>
      </top>
      <bottom style="thin">
        <color auto="1"/>
      </bottom>
      <diagonal/>
    </border>
    <border>
      <left style="thin">
        <color rgb="FF17365D"/>
      </left>
      <right/>
      <top style="thin">
        <color auto="1"/>
      </top>
      <bottom style="thin">
        <color rgb="FF17365D"/>
      </bottom>
      <diagonal/>
    </border>
    <border>
      <left style="thin">
        <color auto="1"/>
      </left>
      <right style="thin">
        <color auto="1"/>
      </right>
      <top style="thin">
        <color rgb="FF17365D"/>
      </top>
      <bottom/>
      <diagonal/>
    </border>
    <border>
      <left style="thin">
        <color auto="1"/>
      </left>
      <right style="thin">
        <color rgb="FF17365D"/>
      </right>
      <top style="thin">
        <color rgb="FF17365D"/>
      </top>
      <bottom/>
      <diagonal/>
    </border>
    <border>
      <left style="thin">
        <color rgb="FFBFBFBF"/>
      </left>
      <right/>
      <top style="thin">
        <color rgb="FF17365D"/>
      </top>
      <bottom/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17365D"/>
      </top>
      <bottom/>
      <diagonal/>
    </border>
    <border>
      <left style="thin">
        <color auto="1"/>
      </left>
      <right style="thin">
        <color rgb="FFBFBFBF"/>
      </right>
      <top style="thin">
        <color rgb="FF17365D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medium">
        <color rgb="FFBF9000"/>
      </left>
      <right/>
      <top style="medium">
        <color rgb="FFBF9000"/>
      </top>
      <bottom/>
      <diagonal/>
    </border>
    <border>
      <left style="thin">
        <color auto="1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17365D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A6A6A6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auto="1"/>
      </bottom>
      <diagonal/>
    </border>
  </borders>
  <cellStyleXfs count="4">
    <xf numFmtId="0" fontId="0" fillId="0" borderId="0"/>
    <xf numFmtId="9" fontId="1" fillId="0" borderId="0"/>
    <xf numFmtId="0" fontId="7" fillId="0" borderId="0"/>
    <xf numFmtId="0" fontId="9" fillId="10" borderId="0" applyNumberFormat="0" applyBorder="0" applyAlignment="0" applyProtection="0"/>
  </cellStyleXfs>
  <cellXfs count="82">
    <xf numFmtId="0" fontId="0" fillId="0" borderId="0" xfId="0"/>
    <xf numFmtId="0" fontId="3" fillId="0" borderId="0" xfId="0" applyFont="1"/>
    <xf numFmtId="0" fontId="4" fillId="3" borderId="0" xfId="0" applyFont="1" applyFill="1"/>
    <xf numFmtId="0" fontId="3" fillId="0" borderId="1" xfId="0" applyFont="1" applyBorder="1"/>
    <xf numFmtId="0" fontId="3" fillId="4" borderId="2" xfId="0" applyFont="1" applyFill="1" applyBorder="1"/>
    <xf numFmtId="0" fontId="2" fillId="2" borderId="0" xfId="0" applyFont="1" applyFill="1" applyAlignment="1">
      <alignment vertical="center"/>
    </xf>
    <xf numFmtId="164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3" fillId="0" borderId="2" xfId="0" applyFont="1" applyBorder="1"/>
    <xf numFmtId="0" fontId="0" fillId="3" borderId="0" xfId="0" applyFill="1"/>
    <xf numFmtId="166" fontId="0" fillId="0" borderId="0" xfId="0" applyNumberFormat="1"/>
    <xf numFmtId="166" fontId="3" fillId="0" borderId="1" xfId="0" applyNumberFormat="1" applyFont="1" applyBorder="1"/>
    <xf numFmtId="166" fontId="3" fillId="4" borderId="2" xfId="0" applyNumberFormat="1" applyFont="1" applyFill="1" applyBorder="1"/>
    <xf numFmtId="166" fontId="5" fillId="0" borderId="0" xfId="0" applyNumberFormat="1" applyFont="1"/>
    <xf numFmtId="166" fontId="3" fillId="0" borderId="2" xfId="0" applyNumberFormat="1" applyFont="1" applyBorder="1"/>
    <xf numFmtId="0" fontId="5" fillId="0" borderId="0" xfId="0" applyFont="1"/>
    <xf numFmtId="167" fontId="0" fillId="0" borderId="0" xfId="1" applyNumberFormat="1" applyFont="1"/>
    <xf numFmtId="167" fontId="0" fillId="0" borderId="0" xfId="0" applyNumberFormat="1"/>
    <xf numFmtId="167" fontId="5" fillId="0" borderId="0" xfId="0" applyNumberFormat="1" applyFont="1"/>
    <xf numFmtId="167" fontId="5" fillId="0" borderId="0" xfId="1" applyNumberFormat="1" applyFont="1"/>
    <xf numFmtId="166" fontId="3" fillId="0" borderId="0" xfId="0" applyNumberFormat="1" applyFont="1"/>
    <xf numFmtId="1" fontId="5" fillId="0" borderId="0" xfId="0" applyNumberFormat="1" applyFont="1"/>
    <xf numFmtId="0" fontId="0" fillId="2" borderId="0" xfId="0" applyFill="1"/>
    <xf numFmtId="0" fontId="4" fillId="5" borderId="0" xfId="0" applyFont="1" applyFill="1"/>
    <xf numFmtId="166" fontId="4" fillId="5" borderId="0" xfId="0" applyNumberFormat="1" applyFont="1" applyFill="1"/>
    <xf numFmtId="0" fontId="6" fillId="2" borderId="0" xfId="0" applyFont="1" applyFill="1" applyAlignment="1">
      <alignment horizontal="left" vertical="center" indent="1"/>
    </xf>
    <xf numFmtId="0" fontId="3" fillId="3" borderId="0" xfId="0" applyFont="1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8" borderId="0" xfId="0" applyFill="1"/>
    <xf numFmtId="10" fontId="0" fillId="0" borderId="0" xfId="0" applyNumberFormat="1"/>
    <xf numFmtId="0" fontId="0" fillId="9" borderId="0" xfId="0" applyFill="1"/>
    <xf numFmtId="166" fontId="5" fillId="9" borderId="0" xfId="0" applyNumberFormat="1" applyFont="1" applyFill="1"/>
    <xf numFmtId="166" fontId="0" fillId="9" borderId="0" xfId="0" applyNumberFormat="1" applyFill="1"/>
    <xf numFmtId="0" fontId="8" fillId="0" borderId="0" xfId="0" applyFont="1"/>
    <xf numFmtId="9" fontId="0" fillId="0" borderId="0" xfId="0" applyNumberFormat="1"/>
    <xf numFmtId="168" fontId="0" fillId="0" borderId="0" xfId="0" applyNumberFormat="1"/>
    <xf numFmtId="166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right" vertical="center"/>
    </xf>
    <xf numFmtId="0" fontId="10" fillId="15" borderId="20" xfId="0" applyFont="1" applyFill="1" applyBorder="1" applyAlignment="1">
      <alignment horizontal="center" vertical="center" textRotation="90"/>
    </xf>
    <xf numFmtId="0" fontId="10" fillId="15" borderId="21" xfId="0" applyFont="1" applyFill="1" applyBorder="1" applyAlignment="1">
      <alignment horizontal="center" vertical="center" textRotation="90"/>
    </xf>
    <xf numFmtId="0" fontId="10" fillId="15" borderId="22" xfId="0" applyFont="1" applyFill="1" applyBorder="1" applyAlignment="1">
      <alignment horizontal="center" vertical="center" textRotation="90"/>
    </xf>
    <xf numFmtId="0" fontId="14" fillId="14" borderId="5" xfId="0" applyNumberFormat="1" applyFont="1" applyFill="1" applyBorder="1" applyAlignment="1">
      <alignment horizontal="center" vertical="center"/>
    </xf>
    <xf numFmtId="0" fontId="14" fillId="14" borderId="9" xfId="0" applyNumberFormat="1" applyFont="1" applyFill="1" applyBorder="1" applyAlignment="1">
      <alignment horizontal="center" vertical="center"/>
    </xf>
    <xf numFmtId="0" fontId="14" fillId="14" borderId="10" xfId="0" applyNumberFormat="1" applyFont="1" applyFill="1" applyBorder="1" applyAlignment="1">
      <alignment horizontal="center" vertical="center"/>
    </xf>
    <xf numFmtId="0" fontId="14" fillId="14" borderId="6" xfId="0" applyNumberFormat="1" applyFont="1" applyFill="1" applyBorder="1" applyAlignment="1">
      <alignment horizontal="center" vertical="center"/>
    </xf>
    <xf numFmtId="0" fontId="14" fillId="14" borderId="7" xfId="0" applyNumberFormat="1" applyFont="1" applyFill="1" applyBorder="1" applyAlignment="1">
      <alignment horizontal="center" vertical="center"/>
    </xf>
    <xf numFmtId="0" fontId="14" fillId="14" borderId="8" xfId="0" applyNumberFormat="1" applyFont="1" applyFill="1" applyBorder="1" applyAlignment="1">
      <alignment horizontal="center" vertical="center"/>
    </xf>
    <xf numFmtId="170" fontId="15" fillId="13" borderId="11" xfId="0" applyNumberFormat="1" applyFont="1" applyFill="1" applyBorder="1" applyAlignment="1">
      <alignment horizontal="center" vertical="center"/>
    </xf>
    <xf numFmtId="170" fontId="15" fillId="16" borderId="14" xfId="0" applyNumberFormat="1" applyFont="1" applyFill="1" applyBorder="1" applyAlignment="1">
      <alignment horizontal="center" vertical="center"/>
    </xf>
    <xf numFmtId="170" fontId="15" fillId="16" borderId="15" xfId="0" applyNumberFormat="1" applyFont="1" applyFill="1" applyBorder="1" applyAlignment="1">
      <alignment horizontal="center" vertical="center"/>
    </xf>
    <xf numFmtId="170" fontId="15" fillId="17" borderId="16" xfId="0" applyNumberFormat="1" applyFont="1" applyFill="1" applyBorder="1" applyAlignment="1">
      <alignment horizontal="center" vertical="center"/>
    </xf>
    <xf numFmtId="170" fontId="16" fillId="18" borderId="17" xfId="0" applyNumberFormat="1" applyFont="1" applyFill="1" applyBorder="1" applyAlignment="1">
      <alignment horizontal="center" vertical="center"/>
    </xf>
    <xf numFmtId="170" fontId="15" fillId="16" borderId="19" xfId="0" applyNumberFormat="1" applyFont="1" applyFill="1" applyBorder="1" applyAlignment="1">
      <alignment horizontal="center" vertical="center"/>
    </xf>
    <xf numFmtId="170" fontId="15" fillId="17" borderId="12" xfId="0" applyNumberFormat="1" applyFont="1" applyFill="1" applyBorder="1" applyAlignment="1">
      <alignment horizontal="center" vertical="center"/>
    </xf>
    <xf numFmtId="170" fontId="15" fillId="17" borderId="18" xfId="0" applyNumberFormat="1" applyFont="1" applyFill="1" applyBorder="1" applyAlignment="1">
      <alignment horizontal="center" vertical="center"/>
    </xf>
    <xf numFmtId="170" fontId="15" fillId="18" borderId="13" xfId="0" applyNumberFormat="1" applyFont="1" applyFill="1" applyBorder="1" applyAlignment="1">
      <alignment horizontal="center" vertical="center"/>
    </xf>
    <xf numFmtId="0" fontId="13" fillId="12" borderId="23" xfId="0" applyNumberFormat="1" applyFont="1" applyFill="1" applyBorder="1" applyAlignment="1">
      <alignment horizontal="center" vertical="center"/>
    </xf>
    <xf numFmtId="0" fontId="13" fillId="12" borderId="0" xfId="0" applyNumberFormat="1" applyFont="1" applyFill="1" applyBorder="1" applyAlignment="1">
      <alignment horizontal="center" vertical="center"/>
    </xf>
    <xf numFmtId="0" fontId="11" fillId="11" borderId="4" xfId="0" applyNumberFormat="1" applyFont="1" applyFill="1" applyBorder="1" applyAlignment="1">
      <alignment horizontal="center" vertical="center"/>
    </xf>
    <xf numFmtId="0" fontId="12" fillId="11" borderId="4" xfId="0" applyNumberFormat="1" applyFont="1" applyFill="1" applyBorder="1" applyAlignment="1">
      <alignment horizontal="center" vertical="center"/>
    </xf>
    <xf numFmtId="168" fontId="17" fillId="10" borderId="0" xfId="3" applyNumberFormat="1" applyFont="1" applyAlignment="1">
      <alignment horizontal="center" vertical="center"/>
    </xf>
    <xf numFmtId="0" fontId="20" fillId="14" borderId="3" xfId="0" applyFont="1" applyFill="1" applyBorder="1" applyAlignment="1">
      <alignment horizontal="center" vertical="center"/>
    </xf>
    <xf numFmtId="170" fontId="0" fillId="0" borderId="3" xfId="0" applyNumberFormat="1" applyFont="1" applyBorder="1" applyAlignment="1">
      <alignment horizontal="center" vertical="center"/>
    </xf>
    <xf numFmtId="170" fontId="21" fillId="18" borderId="3" xfId="0" applyNumberFormat="1" applyFont="1" applyFill="1" applyBorder="1" applyAlignment="1">
      <alignment horizontal="center" vertical="center"/>
    </xf>
    <xf numFmtId="170" fontId="21" fillId="18" borderId="24" xfId="0" applyNumberFormat="1" applyFont="1" applyFill="1" applyBorder="1" applyAlignment="1">
      <alignment horizontal="center" vertical="center"/>
    </xf>
    <xf numFmtId="170" fontId="3" fillId="13" borderId="26" xfId="0" applyNumberFormat="1" applyFont="1" applyFill="1" applyBorder="1" applyAlignment="1">
      <alignment horizontal="center" vertical="center"/>
    </xf>
    <xf numFmtId="167" fontId="0" fillId="15" borderId="24" xfId="0" applyNumberFormat="1" applyFont="1" applyFill="1" applyBorder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13" borderId="25" xfId="0" applyFont="1" applyFill="1" applyBorder="1" applyAlignment="1">
      <alignment horizontal="center" vertical="center"/>
    </xf>
    <xf numFmtId="0" fontId="22" fillId="19" borderId="0" xfId="0" applyFont="1" applyFill="1" applyAlignment="1">
      <alignment horizontal="center" vertical="center"/>
    </xf>
    <xf numFmtId="0" fontId="23" fillId="19" borderId="0" xfId="0" applyFont="1" applyFill="1" applyAlignment="1">
      <alignment horizontal="center" vertical="center"/>
    </xf>
    <xf numFmtId="0" fontId="23" fillId="19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8" borderId="0" xfId="0" applyFill="1" applyAlignment="1">
      <alignment horizontal="left" vertical="center"/>
    </xf>
  </cellXfs>
  <cellStyles count="4">
    <cellStyle name="Good" xfId="3" builtinId="26"/>
    <cellStyle name="Hyperlink 2" xfId="2" xr:uid="{00000000-0005-0000-0000-000002000000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402978</xdr:colOff>
      <xdr:row>0</xdr:row>
      <xdr:rowOff>168398</xdr:rowOff>
    </xdr:from>
    <xdr:to>
      <xdr:col>7</xdr:col>
      <xdr:colOff>182384</xdr:colOff>
      <xdr:row>1</xdr:row>
      <xdr:rowOff>2935</xdr:rowOff>
    </xdr:to>
    <xdr:pic>
      <xdr:nvPicPr>
        <xdr:cNvPr id="3" name="Picture 2" descr="Clipboard Partially Crossed outlin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954692" y="168398"/>
          <a:ext cx="583959" cy="58891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710B21C-1100-4372-9DC5-22A1EC6B0050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30e8a42b-6c2b-4c76-bff1-7362c5504bf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61"/>
  <sheetViews>
    <sheetView tabSelected="1" topLeftCell="C1" zoomScaleNormal="100" workbookViewId="0">
      <selection activeCell="G138" sqref="G138"/>
    </sheetView>
  </sheetViews>
  <sheetFormatPr defaultColWidth="8.796875" defaultRowHeight="15.6"/>
  <cols>
    <col min="1" max="1" width="4.19921875" customWidth="1"/>
    <col min="2" max="2" width="37.8984375" customWidth="1"/>
    <col min="3" max="5" width="11.8984375" customWidth="1"/>
    <col min="6" max="6" width="14.796875" customWidth="1"/>
    <col min="7" max="7" width="10.59765625" customWidth="1"/>
    <col min="8" max="8" width="13.5" customWidth="1"/>
    <col min="9" max="9" width="17.19921875" customWidth="1"/>
    <col min="10" max="10" width="92.59765625" customWidth="1"/>
    <col min="11" max="11" width="7.5" customWidth="1"/>
    <col min="12" max="13" width="8.796875" customWidth="1"/>
    <col min="15" max="15" width="8.796875" customWidth="1"/>
  </cols>
  <sheetData>
    <row r="1" spans="1:10" ht="31.2" customHeight="1">
      <c r="B1" s="25" t="s">
        <v>0</v>
      </c>
      <c r="C1" s="22"/>
      <c r="D1" s="22"/>
      <c r="E1" s="22"/>
      <c r="F1" s="22"/>
      <c r="G1" s="28"/>
      <c r="H1" s="28"/>
      <c r="I1" s="27"/>
      <c r="J1" s="29"/>
    </row>
    <row r="3" spans="1:10">
      <c r="A3" t="s">
        <v>1</v>
      </c>
      <c r="B3" s="5" t="s">
        <v>2</v>
      </c>
      <c r="C3" s="5"/>
      <c r="D3" s="5"/>
      <c r="E3" s="5"/>
      <c r="F3" s="5"/>
      <c r="G3" s="5"/>
      <c r="H3" s="5"/>
    </row>
    <row r="4" spans="1:10">
      <c r="B4" s="2" t="s">
        <v>3</v>
      </c>
      <c r="C4" s="6"/>
      <c r="D4" s="7">
        <f>D17</f>
        <v>2026</v>
      </c>
      <c r="E4" s="7">
        <f>E17</f>
        <v>2027</v>
      </c>
      <c r="F4" s="7">
        <f>F17</f>
        <v>2028</v>
      </c>
      <c r="G4" s="7">
        <f>G17</f>
        <v>2029</v>
      </c>
      <c r="H4" s="7">
        <f>H17</f>
        <v>2030</v>
      </c>
    </row>
    <row r="5" spans="1:10">
      <c r="B5" t="s">
        <v>4</v>
      </c>
      <c r="C5" s="10"/>
      <c r="D5" s="10">
        <f>D63*D64</f>
        <v>198380</v>
      </c>
      <c r="E5" s="10">
        <f>E63*E64</f>
        <v>208299</v>
      </c>
      <c r="F5" s="10">
        <f>F63*F64</f>
        <v>223177.5</v>
      </c>
      <c r="G5" s="10">
        <f>G63*G64</f>
        <v>235576.25</v>
      </c>
      <c r="H5" s="10">
        <f>H63*H64</f>
        <v>247975</v>
      </c>
    </row>
    <row r="6" spans="1:10">
      <c r="B6" t="s">
        <v>5</v>
      </c>
      <c r="C6" s="10"/>
      <c r="D6" s="10">
        <f>-D66*D5</f>
        <v>-85303.4</v>
      </c>
      <c r="E6" s="10">
        <f>-E66*E5</f>
        <v>-89568.569999999992</v>
      </c>
      <c r="F6" s="10">
        <f>-F66*F5</f>
        <v>-89271</v>
      </c>
      <c r="G6" s="10">
        <f>-G66*G5</f>
        <v>-89518.975000000006</v>
      </c>
      <c r="H6" s="10">
        <f>-H66*H5</f>
        <v>-94230.5</v>
      </c>
    </row>
    <row r="7" spans="1:10" ht="31.2" customHeight="1">
      <c r="B7" s="3" t="s">
        <v>6</v>
      </c>
      <c r="C7" s="11"/>
      <c r="D7" s="11">
        <f>D5+D6</f>
        <v>113076.6</v>
      </c>
      <c r="E7" s="11">
        <f>E5+E6</f>
        <v>118730.43000000001</v>
      </c>
      <c r="F7" s="11">
        <f>F5+F6</f>
        <v>133906.5</v>
      </c>
      <c r="G7" s="11">
        <f>G5+G6</f>
        <v>146057.27499999999</v>
      </c>
      <c r="H7" s="11">
        <f>H5+H6</f>
        <v>153744.5</v>
      </c>
      <c r="J7" s="30"/>
    </row>
    <row r="8" spans="1:10">
      <c r="B8" t="s">
        <v>7</v>
      </c>
      <c r="C8" s="10"/>
      <c r="D8" s="10">
        <f>-D67*D5</f>
        <v>-69433</v>
      </c>
      <c r="E8" s="10">
        <f>-E67*E5</f>
        <v>-72904.649999999994</v>
      </c>
      <c r="F8" s="10">
        <f>-F67*F5</f>
        <v>-78112.125</v>
      </c>
      <c r="G8" s="10">
        <f>-G67*G5</f>
        <v>-82451.6875</v>
      </c>
      <c r="H8" s="10">
        <f>-H67*H5</f>
        <v>-86791.25</v>
      </c>
    </row>
    <row r="9" spans="1:10">
      <c r="B9" t="s">
        <v>8</v>
      </c>
      <c r="C9" s="13"/>
      <c r="D9" s="10">
        <f>-D100</f>
        <v>-6399</v>
      </c>
      <c r="E9" s="10">
        <f>-E100</f>
        <v>-7599</v>
      </c>
      <c r="F9" s="10">
        <f>-F100</f>
        <v>-8599</v>
      </c>
      <c r="G9" s="10">
        <f>-G100</f>
        <v>-9349</v>
      </c>
      <c r="H9" s="10">
        <f>-H100</f>
        <v>-10099</v>
      </c>
    </row>
    <row r="10" spans="1:10">
      <c r="B10" s="3" t="s">
        <v>9</v>
      </c>
      <c r="C10" s="11"/>
      <c r="D10" s="10">
        <f>D7+D8+D9</f>
        <v>37244.600000000006</v>
      </c>
      <c r="E10" s="10">
        <f>E7+E8+E9</f>
        <v>38226.780000000013</v>
      </c>
      <c r="F10" s="10">
        <f>F7+F8+F9</f>
        <v>47195.375</v>
      </c>
      <c r="G10" s="10">
        <f>G7+G8+G9</f>
        <v>54256.587499999994</v>
      </c>
      <c r="H10" s="10">
        <f>H7+H8+H9</f>
        <v>56854.25</v>
      </c>
    </row>
    <row r="11" spans="1:10">
      <c r="B11" t="s">
        <v>10</v>
      </c>
      <c r="C11" s="13"/>
      <c r="D11">
        <f>D130</f>
        <v>2800.0000000000005</v>
      </c>
      <c r="E11">
        <f>E130</f>
        <v>2800.0000000000005</v>
      </c>
      <c r="F11">
        <f>F130</f>
        <v>2800.0000000000005</v>
      </c>
      <c r="G11">
        <f>G130</f>
        <v>2800.0000000000005</v>
      </c>
      <c r="H11">
        <f>H130</f>
        <v>2800.0000000000005</v>
      </c>
    </row>
    <row r="12" spans="1:10">
      <c r="B12" s="3" t="s">
        <v>11</v>
      </c>
      <c r="C12" s="11"/>
      <c r="D12" s="11">
        <f>D10-D11</f>
        <v>34444.600000000006</v>
      </c>
      <c r="E12" s="11">
        <f>E10-E11</f>
        <v>35426.780000000013</v>
      </c>
      <c r="F12" s="11">
        <f>F10-F11</f>
        <v>44395.375</v>
      </c>
      <c r="G12" s="11">
        <f>G10-G11</f>
        <v>51456.587499999994</v>
      </c>
      <c r="H12" s="11">
        <f>H10-H11</f>
        <v>54054.25</v>
      </c>
    </row>
    <row r="13" spans="1:10">
      <c r="B13" t="s">
        <v>12</v>
      </c>
      <c r="C13" s="10"/>
      <c r="D13" s="10">
        <f>D69*D12</f>
        <v>7233.3660000000009</v>
      </c>
      <c r="E13" s="10">
        <f>E69*E12</f>
        <v>7439.6238000000021</v>
      </c>
      <c r="F13" s="10">
        <f>F69*F12</f>
        <v>9323.0287499999995</v>
      </c>
      <c r="G13" s="10">
        <f>G69*G12</f>
        <v>10805.883374999998</v>
      </c>
      <c r="H13" s="10">
        <f>H69*H12</f>
        <v>11351.3925</v>
      </c>
    </row>
    <row r="14" spans="1:10">
      <c r="B14" s="4" t="s">
        <v>13</v>
      </c>
      <c r="C14" s="12"/>
      <c r="D14" s="12">
        <f>D12-D13</f>
        <v>27211.234000000004</v>
      </c>
      <c r="E14" s="12">
        <f>E12-E13</f>
        <v>27987.156200000012</v>
      </c>
      <c r="F14" s="12">
        <f>F12-F13</f>
        <v>35072.346250000002</v>
      </c>
      <c r="G14" s="12">
        <f>G12-G13</f>
        <v>40650.704124999997</v>
      </c>
      <c r="H14" s="12">
        <f>H12-H13</f>
        <v>42702.857499999998</v>
      </c>
    </row>
    <row r="16" spans="1:10">
      <c r="A16" t="s">
        <v>1</v>
      </c>
      <c r="B16" s="5" t="s">
        <v>14</v>
      </c>
      <c r="C16" s="5"/>
      <c r="D16" s="5"/>
      <c r="E16" s="5"/>
      <c r="F16" s="5"/>
      <c r="G16" s="5"/>
      <c r="H16" s="5"/>
    </row>
    <row r="17" spans="2:10">
      <c r="B17" s="2" t="s">
        <v>15</v>
      </c>
      <c r="C17" s="6">
        <v>2025</v>
      </c>
      <c r="D17" s="7">
        <f>C17+1</f>
        <v>2026</v>
      </c>
      <c r="E17" s="7">
        <f>D17+1</f>
        <v>2027</v>
      </c>
      <c r="F17" s="7">
        <f>E17+1</f>
        <v>2028</v>
      </c>
      <c r="G17" s="7">
        <f>F17+1</f>
        <v>2029</v>
      </c>
      <c r="H17" s="7">
        <f>G17+1</f>
        <v>2030</v>
      </c>
    </row>
    <row r="18" spans="2:10">
      <c r="B18" s="33" t="s">
        <v>16</v>
      </c>
      <c r="C18" s="34">
        <v>14589</v>
      </c>
      <c r="D18" s="35">
        <f>D59</f>
        <v>21534.405428426988</v>
      </c>
      <c r="E18" s="35">
        <f>E59</f>
        <v>32358.520199848354</v>
      </c>
      <c r="F18" s="35">
        <f>F59</f>
        <v>50080.897089531209</v>
      </c>
      <c r="G18" s="35">
        <f>G59</f>
        <v>71830.97172667057</v>
      </c>
      <c r="H18" s="35">
        <f>H59</f>
        <v>91753.804550442699</v>
      </c>
      <c r="I18" s="31" t="s">
        <v>17</v>
      </c>
    </row>
    <row r="19" spans="2:10">
      <c r="B19" t="s">
        <v>18</v>
      </c>
      <c r="C19" s="13">
        <v>9877</v>
      </c>
      <c r="D19" s="10">
        <f>D5*D75</f>
        <v>12323.498304999466</v>
      </c>
      <c r="E19" s="10">
        <f>E5*E75</f>
        <v>12939.673220249439</v>
      </c>
      <c r="F19" s="10">
        <f>F5*F75</f>
        <v>13863.935593124399</v>
      </c>
      <c r="G19" s="10">
        <f>G5*G75</f>
        <v>14634.154237186865</v>
      </c>
      <c r="H19" s="10">
        <f>H5*H75</f>
        <v>15404.372881249332</v>
      </c>
    </row>
    <row r="20" spans="2:10">
      <c r="B20" t="s">
        <v>19</v>
      </c>
      <c r="C20" s="13">
        <v>8579</v>
      </c>
      <c r="D20" s="10">
        <f>-D6*D76</f>
        <v>9643.2667264030351</v>
      </c>
      <c r="E20" s="10">
        <f>-E6*E76</f>
        <v>10125.430062723188</v>
      </c>
      <c r="F20" s="10">
        <f>-F6*F76</f>
        <v>10091.790760189224</v>
      </c>
      <c r="G20" s="10">
        <f>-G6*G76</f>
        <v>10119.823512300862</v>
      </c>
      <c r="H20" s="10">
        <f>-H6*H76</f>
        <v>10652.445802421958</v>
      </c>
    </row>
    <row r="21" spans="2:10">
      <c r="B21" s="3" t="s">
        <v>20</v>
      </c>
      <c r="C21" s="11">
        <f t="shared" ref="C21:H21" si="0">SUM(C18:C20)</f>
        <v>33045</v>
      </c>
      <c r="D21" s="11">
        <f t="shared" si="0"/>
        <v>43501.170459829489</v>
      </c>
      <c r="E21" s="11">
        <f t="shared" si="0"/>
        <v>55423.623482820978</v>
      </c>
      <c r="F21" s="11">
        <f t="shared" si="0"/>
        <v>74036.623442844837</v>
      </c>
      <c r="G21" s="11">
        <f t="shared" si="0"/>
        <v>96584.949476158305</v>
      </c>
      <c r="H21" s="11">
        <f t="shared" si="0"/>
        <v>117810.623234114</v>
      </c>
    </row>
    <row r="22" spans="2:10">
      <c r="B22" t="s">
        <v>21</v>
      </c>
      <c r="C22" s="13">
        <v>48990</v>
      </c>
      <c r="D22" s="10">
        <f>D105</f>
        <v>57591</v>
      </c>
      <c r="E22" s="10">
        <f>E105</f>
        <v>61992</v>
      </c>
      <c r="F22" s="10">
        <f>F105</f>
        <v>63393</v>
      </c>
      <c r="G22" s="10">
        <f>G105</f>
        <v>61544</v>
      </c>
      <c r="H22" s="10">
        <f>H105</f>
        <v>58945</v>
      </c>
      <c r="I22" s="31" t="s">
        <v>22</v>
      </c>
    </row>
    <row r="23" spans="2:10">
      <c r="B23" s="4" t="s">
        <v>23</v>
      </c>
      <c r="C23" s="12">
        <f t="shared" ref="C23:H23" si="1">SUM(C21,C22)</f>
        <v>82035</v>
      </c>
      <c r="D23" s="12">
        <f t="shared" si="1"/>
        <v>101092.17045982949</v>
      </c>
      <c r="E23" s="12">
        <f t="shared" si="1"/>
        <v>117415.62348282099</v>
      </c>
      <c r="F23" s="12">
        <f t="shared" si="1"/>
        <v>137429.62344284484</v>
      </c>
      <c r="G23" s="12">
        <f t="shared" si="1"/>
        <v>158128.9494761583</v>
      </c>
      <c r="H23" s="12">
        <f t="shared" si="1"/>
        <v>176755.623234114</v>
      </c>
    </row>
    <row r="25" spans="2:10">
      <c r="B25" t="s">
        <v>24</v>
      </c>
      <c r="C25" s="13">
        <v>14880</v>
      </c>
      <c r="D25" s="10">
        <f>-D6*D77</f>
        <v>16725.936459829485</v>
      </c>
      <c r="E25" s="10">
        <f>-E6*E77</f>
        <v>17562.233282820962</v>
      </c>
      <c r="F25" s="10">
        <f>-F6*F77</f>
        <v>17503.886992844811</v>
      </c>
      <c r="G25" s="10">
        <f>-G6*G77</f>
        <v>17552.508901158271</v>
      </c>
      <c r="H25" s="10">
        <f>-H6*H77</f>
        <v>18476.325159113971</v>
      </c>
    </row>
    <row r="26" spans="2:10">
      <c r="B26" s="33" t="s">
        <v>25</v>
      </c>
      <c r="C26" s="35">
        <v>0</v>
      </c>
      <c r="D26" s="35">
        <f>D126</f>
        <v>0</v>
      </c>
      <c r="E26" s="35">
        <f>E126</f>
        <v>0</v>
      </c>
      <c r="F26" s="35">
        <f>F126</f>
        <v>0</v>
      </c>
      <c r="G26" s="35">
        <f>G126</f>
        <v>0</v>
      </c>
      <c r="H26" s="35">
        <f>H126</f>
        <v>0</v>
      </c>
      <c r="I26" s="31" t="s">
        <v>26</v>
      </c>
      <c r="J26" s="36"/>
    </row>
    <row r="27" spans="2:10">
      <c r="B27" s="3" t="s">
        <v>27</v>
      </c>
      <c r="C27" s="11">
        <f t="shared" ref="C27:H27" si="2">SUM(C25,C26)</f>
        <v>14880</v>
      </c>
      <c r="D27" s="11">
        <f t="shared" si="2"/>
        <v>16725.936459829485</v>
      </c>
      <c r="E27" s="11">
        <f t="shared" si="2"/>
        <v>17562.233282820962</v>
      </c>
      <c r="F27" s="11">
        <f t="shared" si="2"/>
        <v>17503.886992844811</v>
      </c>
      <c r="G27" s="11">
        <f t="shared" si="2"/>
        <v>17552.508901158271</v>
      </c>
      <c r="H27" s="11">
        <f t="shared" si="2"/>
        <v>18476.325159113971</v>
      </c>
    </row>
    <row r="29" spans="2:10">
      <c r="B29" t="s">
        <v>28</v>
      </c>
      <c r="C29" s="13">
        <v>40000</v>
      </c>
      <c r="D29" s="10">
        <f>D79</f>
        <v>40000</v>
      </c>
      <c r="E29" s="10">
        <f>E79</f>
        <v>40000</v>
      </c>
      <c r="F29" s="10">
        <f>F79</f>
        <v>40000</v>
      </c>
      <c r="G29" s="10">
        <f>G79</f>
        <v>40000</v>
      </c>
      <c r="H29" s="10">
        <f>H79</f>
        <v>40000</v>
      </c>
    </row>
    <row r="30" spans="2:10">
      <c r="B30" s="8" t="s">
        <v>29</v>
      </c>
      <c r="C30" s="14">
        <f t="shared" ref="C30:H30" si="3">SUM(C27,C29)</f>
        <v>54880</v>
      </c>
      <c r="D30" s="14">
        <f t="shared" si="3"/>
        <v>56725.936459829485</v>
      </c>
      <c r="E30" s="14">
        <f t="shared" si="3"/>
        <v>57562.233282820962</v>
      </c>
      <c r="F30" s="14">
        <f t="shared" si="3"/>
        <v>57503.886992844811</v>
      </c>
      <c r="G30" s="14">
        <f t="shared" si="3"/>
        <v>57552.508901158275</v>
      </c>
      <c r="H30" s="14">
        <f t="shared" si="3"/>
        <v>58476.325159113971</v>
      </c>
    </row>
    <row r="32" spans="2:10">
      <c r="B32" t="s">
        <v>30</v>
      </c>
      <c r="C32" s="13">
        <v>25000</v>
      </c>
      <c r="D32" s="10">
        <v>25000</v>
      </c>
      <c r="E32" s="10">
        <v>25000</v>
      </c>
      <c r="F32" s="10">
        <v>25000</v>
      </c>
      <c r="G32" s="10">
        <v>25000</v>
      </c>
      <c r="H32" s="10">
        <v>25000</v>
      </c>
      <c r="I32" s="81" t="s">
        <v>31</v>
      </c>
      <c r="J32" s="81"/>
    </row>
    <row r="33" spans="1:9">
      <c r="B33" t="s">
        <v>32</v>
      </c>
      <c r="C33" s="13">
        <f>24155-22000</f>
        <v>2155</v>
      </c>
      <c r="D33" s="10">
        <f>D111</f>
        <v>19366.234000000004</v>
      </c>
      <c r="E33" s="10">
        <f>E111</f>
        <v>34853.390200000016</v>
      </c>
      <c r="F33" s="10">
        <f>F111</f>
        <v>54925.736450000026</v>
      </c>
      <c r="G33" s="10">
        <f>G111</f>
        <v>75576.440575000015</v>
      </c>
      <c r="H33" s="10">
        <f>H111</f>
        <v>93279.298075000013</v>
      </c>
      <c r="I33" s="31" t="s">
        <v>33</v>
      </c>
    </row>
    <row r="34" spans="1:9">
      <c r="B34" s="8" t="s">
        <v>34</v>
      </c>
      <c r="C34" s="14">
        <f t="shared" ref="C34:H34" si="4">SUM(C32:C33)</f>
        <v>27155</v>
      </c>
      <c r="D34" s="14">
        <f t="shared" si="4"/>
        <v>44366.234000000004</v>
      </c>
      <c r="E34" s="14">
        <f t="shared" si="4"/>
        <v>59853.390200000016</v>
      </c>
      <c r="F34" s="14">
        <f t="shared" si="4"/>
        <v>79925.736450000026</v>
      </c>
      <c r="G34" s="14">
        <f t="shared" si="4"/>
        <v>100576.44057500002</v>
      </c>
      <c r="H34" s="14">
        <f t="shared" si="4"/>
        <v>118279.29807500001</v>
      </c>
    </row>
    <row r="36" spans="1:9">
      <c r="B36" s="4" t="s">
        <v>35</v>
      </c>
      <c r="C36" s="12">
        <f t="shared" ref="C36:H36" si="5">SUM(C30,C34)</f>
        <v>82035</v>
      </c>
      <c r="D36" s="12">
        <f t="shared" si="5"/>
        <v>101092.17045982949</v>
      </c>
      <c r="E36" s="12">
        <f t="shared" si="5"/>
        <v>117415.62348282099</v>
      </c>
      <c r="F36" s="12">
        <f t="shared" si="5"/>
        <v>137429.62344284484</v>
      </c>
      <c r="G36" s="12">
        <f t="shared" si="5"/>
        <v>158128.9494761583</v>
      </c>
      <c r="H36" s="12">
        <f t="shared" si="5"/>
        <v>176755.62323411397</v>
      </c>
    </row>
    <row r="38" spans="1:9">
      <c r="B38" s="23" t="s">
        <v>36</v>
      </c>
      <c r="C38" s="24">
        <f t="shared" ref="C38:H38" si="6">C23-C36</f>
        <v>0</v>
      </c>
      <c r="D38" s="24">
        <f t="shared" si="6"/>
        <v>0</v>
      </c>
      <c r="E38" s="24">
        <f t="shared" si="6"/>
        <v>0</v>
      </c>
      <c r="F38" s="24">
        <f t="shared" si="6"/>
        <v>0</v>
      </c>
      <c r="G38" s="24">
        <f t="shared" si="6"/>
        <v>0</v>
      </c>
      <c r="H38" s="24">
        <f t="shared" si="6"/>
        <v>0</v>
      </c>
    </row>
    <row r="40" spans="1:9">
      <c r="A40" t="s">
        <v>1</v>
      </c>
      <c r="B40" s="5" t="s">
        <v>37</v>
      </c>
      <c r="C40" s="5"/>
      <c r="D40" s="5"/>
      <c r="E40" s="5"/>
      <c r="F40" s="5"/>
      <c r="G40" s="5"/>
      <c r="H40" s="5"/>
    </row>
    <row r="41" spans="1:9">
      <c r="B41" t="s">
        <v>13</v>
      </c>
      <c r="D41" s="10">
        <f>D14</f>
        <v>27211.234000000004</v>
      </c>
      <c r="E41" s="10">
        <f>E14</f>
        <v>27987.156200000012</v>
      </c>
      <c r="F41" s="10">
        <f>F14</f>
        <v>35072.346250000002</v>
      </c>
      <c r="G41" s="10">
        <f>G14</f>
        <v>40650.704124999997</v>
      </c>
      <c r="H41" s="10">
        <f>H14</f>
        <v>42702.857499999998</v>
      </c>
      <c r="I41" s="10"/>
    </row>
    <row r="42" spans="1:9">
      <c r="B42" t="s">
        <v>8</v>
      </c>
      <c r="D42" s="10">
        <f>D100</f>
        <v>6399</v>
      </c>
      <c r="E42" s="10">
        <f>E100</f>
        <v>7599</v>
      </c>
      <c r="F42" s="10">
        <f>F100</f>
        <v>8599</v>
      </c>
      <c r="G42" s="10">
        <f>G100</f>
        <v>9349</v>
      </c>
      <c r="H42" s="10">
        <f>H100</f>
        <v>10099</v>
      </c>
    </row>
    <row r="43" spans="1:9">
      <c r="B43" t="s">
        <v>38</v>
      </c>
      <c r="D43" s="10">
        <f t="shared" ref="D43:H44" si="7">-D19+C19</f>
        <v>-2446.4983049994662</v>
      </c>
      <c r="E43" s="10">
        <f t="shared" si="7"/>
        <v>-616.1749152499724</v>
      </c>
      <c r="F43" s="10">
        <f t="shared" si="7"/>
        <v>-924.26237287496042</v>
      </c>
      <c r="G43" s="10">
        <f t="shared" si="7"/>
        <v>-770.21864406246641</v>
      </c>
      <c r="H43" s="10">
        <f t="shared" si="7"/>
        <v>-770.21864406246641</v>
      </c>
    </row>
    <row r="44" spans="1:9">
      <c r="B44" t="s">
        <v>39</v>
      </c>
      <c r="D44" s="10">
        <f t="shared" si="7"/>
        <v>-1064.2667264030351</v>
      </c>
      <c r="E44" s="10">
        <f t="shared" si="7"/>
        <v>-482.16333632015267</v>
      </c>
      <c r="F44" s="10">
        <f t="shared" si="7"/>
        <v>33.639302533963928</v>
      </c>
      <c r="G44" s="10">
        <f t="shared" si="7"/>
        <v>-28.032752111637819</v>
      </c>
      <c r="H44" s="10">
        <f t="shared" si="7"/>
        <v>-532.62229012109674</v>
      </c>
    </row>
    <row r="45" spans="1:9">
      <c r="B45" t="s">
        <v>40</v>
      </c>
      <c r="D45" s="10">
        <f>D25-C25</f>
        <v>1845.9364598294851</v>
      </c>
      <c r="E45" s="10">
        <f>E25-D25</f>
        <v>836.2968229914768</v>
      </c>
      <c r="F45" s="10">
        <f>F25-E25</f>
        <v>-58.346289976150729</v>
      </c>
      <c r="G45" s="10">
        <f>G25-F25</f>
        <v>48.621908313460153</v>
      </c>
      <c r="H45" s="10">
        <f>H25-G25</f>
        <v>923.81625795569926</v>
      </c>
    </row>
    <row r="46" spans="1:9">
      <c r="B46" s="8" t="s">
        <v>41</v>
      </c>
      <c r="C46" s="8"/>
      <c r="D46" s="14">
        <f>SUM(D41:D45)</f>
        <v>31945.405428426988</v>
      </c>
      <c r="E46" s="14">
        <f>SUM(E41:E45)</f>
        <v>35324.114771421366</v>
      </c>
      <c r="F46" s="14">
        <f>SUM(F41:F45)</f>
        <v>42722.376889682855</v>
      </c>
      <c r="G46" s="14">
        <f>SUM(G41:G45)</f>
        <v>49250.074637139362</v>
      </c>
      <c r="H46" s="14">
        <f>SUM(H41:H45)</f>
        <v>52422.832823772129</v>
      </c>
    </row>
    <row r="48" spans="1:9">
      <c r="B48" t="s">
        <v>42</v>
      </c>
      <c r="D48" s="10">
        <f>-D85</f>
        <v>-15000</v>
      </c>
      <c r="E48" s="10">
        <f>-E85</f>
        <v>-12000</v>
      </c>
      <c r="F48" s="10">
        <f>-F85</f>
        <v>-10000</v>
      </c>
      <c r="G48" s="10">
        <f>-G85</f>
        <v>-7500</v>
      </c>
      <c r="H48" s="10">
        <f>-H85</f>
        <v>-7500</v>
      </c>
    </row>
    <row r="49" spans="1:8">
      <c r="B49" s="8" t="s">
        <v>43</v>
      </c>
      <c r="C49" s="8"/>
      <c r="D49" s="14">
        <f>D48</f>
        <v>-15000</v>
      </c>
      <c r="E49" s="14">
        <f>E48</f>
        <v>-12000</v>
      </c>
      <c r="F49" s="14">
        <f>F48</f>
        <v>-10000</v>
      </c>
      <c r="G49" s="14">
        <f>G48</f>
        <v>-7500</v>
      </c>
      <c r="H49" s="14">
        <f>H48</f>
        <v>-7500</v>
      </c>
    </row>
    <row r="51" spans="1:8">
      <c r="B51" t="s">
        <v>44</v>
      </c>
      <c r="D51" s="10">
        <f>D79-E79</f>
        <v>0</v>
      </c>
      <c r="E51" s="10">
        <f>E79-F79</f>
        <v>0</v>
      </c>
      <c r="F51" s="10">
        <f>F79-G79</f>
        <v>0</v>
      </c>
      <c r="G51" s="10">
        <f>G79-H79</f>
        <v>0</v>
      </c>
      <c r="H51" s="10">
        <f>0</f>
        <v>0</v>
      </c>
    </row>
    <row r="52" spans="1:8">
      <c r="B52" t="s">
        <v>45</v>
      </c>
      <c r="D52" s="10"/>
      <c r="E52" s="10"/>
      <c r="F52" s="10"/>
      <c r="G52" s="10"/>
      <c r="H52" s="10"/>
    </row>
    <row r="53" spans="1:8">
      <c r="B53" t="s">
        <v>46</v>
      </c>
      <c r="D53" s="10">
        <f>D32-C32</f>
        <v>0</v>
      </c>
      <c r="E53" s="10">
        <f>E32-D32</f>
        <v>0</v>
      </c>
      <c r="F53" s="10">
        <f>F32-E32</f>
        <v>0</v>
      </c>
      <c r="G53" s="10">
        <f>G32-F32</f>
        <v>0</v>
      </c>
      <c r="H53" s="10">
        <f>H32-G32</f>
        <v>0</v>
      </c>
    </row>
    <row r="54" spans="1:8">
      <c r="B54" t="s">
        <v>47</v>
      </c>
      <c r="D54" s="10">
        <f>D110</f>
        <v>-10000</v>
      </c>
      <c r="E54" s="10">
        <f>E110</f>
        <v>-12500</v>
      </c>
      <c r="F54" s="10">
        <f>F110</f>
        <v>-15000</v>
      </c>
      <c r="G54" s="10">
        <f>G110</f>
        <v>-20000</v>
      </c>
      <c r="H54" s="10">
        <f>H110</f>
        <v>-25000</v>
      </c>
    </row>
    <row r="55" spans="1:8">
      <c r="B55" s="8" t="s">
        <v>48</v>
      </c>
      <c r="C55" s="8"/>
      <c r="D55" s="14">
        <f>SUM(D51:D54)</f>
        <v>-10000</v>
      </c>
      <c r="E55" s="14">
        <f>SUM(E51:E54)</f>
        <v>-12500</v>
      </c>
      <c r="F55" s="14">
        <f>SUM(F51:F54)</f>
        <v>-15000</v>
      </c>
      <c r="G55" s="14">
        <f>SUM(G51:G54)</f>
        <v>-20000</v>
      </c>
      <c r="H55" s="14">
        <f>SUM(H51:H54)</f>
        <v>-25000</v>
      </c>
    </row>
    <row r="57" spans="1:8">
      <c r="B57" t="s">
        <v>49</v>
      </c>
      <c r="D57" s="10">
        <f>C18</f>
        <v>14589</v>
      </c>
      <c r="E57" s="10">
        <f>D59</f>
        <v>21534.405428426988</v>
      </c>
      <c r="F57" s="10">
        <f>E59</f>
        <v>32358.520199848354</v>
      </c>
      <c r="G57" s="10">
        <f>F59</f>
        <v>50080.897089531209</v>
      </c>
      <c r="H57" s="10">
        <f>G59</f>
        <v>71830.97172667057</v>
      </c>
    </row>
    <row r="58" spans="1:8">
      <c r="B58" s="4" t="s">
        <v>50</v>
      </c>
      <c r="C58" s="4"/>
      <c r="D58" s="12">
        <f>D46+D49+D55</f>
        <v>6945.4054284269878</v>
      </c>
      <c r="E58" s="12">
        <f>E46+E49+E55</f>
        <v>10824.114771421366</v>
      </c>
      <c r="F58" s="12">
        <f>F46+F49+F55</f>
        <v>17722.376889682855</v>
      </c>
      <c r="G58" s="12">
        <f>G46+G49+G55</f>
        <v>21750.074637139362</v>
      </c>
      <c r="H58" s="12">
        <f>H46+H49+H55</f>
        <v>19922.832823772129</v>
      </c>
    </row>
    <row r="59" spans="1:8">
      <c r="B59" t="s">
        <v>51</v>
      </c>
      <c r="D59" s="10">
        <f>D57+D58</f>
        <v>21534.405428426988</v>
      </c>
      <c r="E59" s="10">
        <f>E57+E58</f>
        <v>32358.520199848354</v>
      </c>
      <c r="F59" s="10">
        <f>F57+F58</f>
        <v>50080.897089531209</v>
      </c>
      <c r="G59" s="10">
        <f>G57+G58</f>
        <v>71830.97172667057</v>
      </c>
      <c r="H59" s="10">
        <f>H57+H58</f>
        <v>91753.804550442699</v>
      </c>
    </row>
    <row r="60" spans="1:8">
      <c r="B60" s="1"/>
      <c r="C60" s="20"/>
      <c r="D60" s="20"/>
      <c r="E60" s="20"/>
      <c r="F60" s="20"/>
      <c r="G60" s="20"/>
      <c r="H60" s="20"/>
    </row>
    <row r="61" spans="1:8">
      <c r="A61" t="s">
        <v>1</v>
      </c>
      <c r="B61" s="5" t="s">
        <v>52</v>
      </c>
      <c r="C61" s="5"/>
      <c r="D61" s="5"/>
      <c r="E61" s="5"/>
      <c r="F61" s="5"/>
      <c r="G61" s="5"/>
      <c r="H61" s="5"/>
    </row>
    <row r="62" spans="1:8">
      <c r="B62" s="26" t="s">
        <v>53</v>
      </c>
      <c r="C62" s="9">
        <v>2025</v>
      </c>
      <c r="D62" s="9">
        <v>2026</v>
      </c>
      <c r="E62" s="9">
        <v>2027</v>
      </c>
      <c r="F62" s="9">
        <v>2028</v>
      </c>
      <c r="G62" s="9">
        <v>2029</v>
      </c>
      <c r="H62" s="9">
        <v>2030</v>
      </c>
    </row>
    <row r="63" spans="1:8">
      <c r="B63" t="s">
        <v>54</v>
      </c>
      <c r="C63" s="21"/>
      <c r="D63" s="21">
        <v>400</v>
      </c>
      <c r="E63" s="21">
        <v>420</v>
      </c>
      <c r="F63" s="21">
        <v>450</v>
      </c>
      <c r="G63" s="21">
        <v>475</v>
      </c>
      <c r="H63" s="21">
        <v>500</v>
      </c>
    </row>
    <row r="64" spans="1:8">
      <c r="B64" t="s">
        <v>55</v>
      </c>
      <c r="C64" s="21"/>
      <c r="D64" s="21">
        <v>495.95</v>
      </c>
      <c r="E64" s="21">
        <v>495.95</v>
      </c>
      <c r="F64" s="21">
        <v>495.95</v>
      </c>
      <c r="G64" s="21">
        <v>495.95</v>
      </c>
      <c r="H64" s="21">
        <v>495.95</v>
      </c>
    </row>
    <row r="66" spans="2:10">
      <c r="B66" t="s">
        <v>56</v>
      </c>
      <c r="C66" s="19"/>
      <c r="D66" s="19">
        <v>0.43</v>
      </c>
      <c r="E66" s="19">
        <v>0.43</v>
      </c>
      <c r="F66" s="19">
        <v>0.4</v>
      </c>
      <c r="G66" s="19">
        <v>0.38</v>
      </c>
      <c r="H66" s="19">
        <v>0.38</v>
      </c>
    </row>
    <row r="67" spans="2:10">
      <c r="B67" t="s">
        <v>57</v>
      </c>
      <c r="C67" s="19"/>
      <c r="D67" s="19">
        <v>0.35</v>
      </c>
      <c r="E67" s="18">
        <v>0.35</v>
      </c>
      <c r="F67" s="18">
        <v>0.35</v>
      </c>
      <c r="G67" s="18">
        <v>0.35</v>
      </c>
      <c r="H67" s="18">
        <v>0.35</v>
      </c>
    </row>
    <row r="68" spans="2:10">
      <c r="C68" s="16"/>
      <c r="D68" s="17"/>
      <c r="E68" s="17"/>
      <c r="F68" s="17"/>
      <c r="G68" s="17"/>
      <c r="H68" s="17"/>
    </row>
    <row r="69" spans="2:10">
      <c r="B69" t="s">
        <v>58</v>
      </c>
      <c r="C69" s="18"/>
      <c r="D69" s="18">
        <v>0.21</v>
      </c>
      <c r="E69" s="18">
        <v>0.21</v>
      </c>
      <c r="F69" s="18">
        <v>0.21</v>
      </c>
      <c r="G69" s="18">
        <v>0.21</v>
      </c>
      <c r="H69" s="18">
        <v>0.21</v>
      </c>
    </row>
    <row r="71" spans="2:10">
      <c r="B71" t="s">
        <v>4</v>
      </c>
      <c r="C71" s="13">
        <v>158997</v>
      </c>
      <c r="D71" s="10"/>
      <c r="E71" s="10"/>
      <c r="F71" s="10"/>
      <c r="G71" s="10"/>
      <c r="H71" s="10"/>
    </row>
    <row r="72" spans="2:10">
      <c r="B72" t="s">
        <v>59</v>
      </c>
      <c r="C72" s="13">
        <v>75889</v>
      </c>
      <c r="D72" s="10"/>
      <c r="E72" s="10"/>
      <c r="F72" s="10"/>
      <c r="G72" s="10"/>
      <c r="H72" s="10"/>
    </row>
    <row r="74" spans="2:10">
      <c r="B74" s="26" t="s">
        <v>60</v>
      </c>
      <c r="C74" s="9"/>
      <c r="D74" s="9"/>
      <c r="E74" s="9"/>
      <c r="F74" s="9"/>
      <c r="G74" s="9"/>
      <c r="H74" s="9"/>
    </row>
    <row r="75" spans="2:10">
      <c r="B75" t="str">
        <f>B19&amp;" as a % of Rev"</f>
        <v>Accounts Receivable as a % of Rev</v>
      </c>
      <c r="C75" s="16"/>
      <c r="D75" s="17">
        <f>C19/C71</f>
        <v>6.2120668943439185E-2</v>
      </c>
      <c r="E75" s="17">
        <f>C19/C71</f>
        <v>6.2120668943439185E-2</v>
      </c>
      <c r="F75" s="17">
        <f>C19/C71</f>
        <v>6.2120668943439185E-2</v>
      </c>
      <c r="G75" s="17">
        <f>C19/C71</f>
        <v>6.2120668943439185E-2</v>
      </c>
      <c r="H75" s="17">
        <f>C19/C71</f>
        <v>6.2120668943439185E-2</v>
      </c>
      <c r="J75" s="31" t="s">
        <v>61</v>
      </c>
    </row>
    <row r="76" spans="2:10">
      <c r="B76" t="str">
        <f>B20&amp;" as a % of COGS"</f>
        <v>Inventory as a % of COGS</v>
      </c>
      <c r="C76" s="16"/>
      <c r="D76" s="32">
        <f>C20/C72</f>
        <v>0.11304668660807232</v>
      </c>
      <c r="E76" s="32">
        <f>C20/C72</f>
        <v>0.11304668660807232</v>
      </c>
      <c r="F76" s="32">
        <f>C20/C72</f>
        <v>0.11304668660807232</v>
      </c>
      <c r="G76" s="32">
        <f>C20/C72</f>
        <v>0.11304668660807232</v>
      </c>
      <c r="H76" s="32">
        <f>C20/C72</f>
        <v>0.11304668660807232</v>
      </c>
      <c r="J76" s="31" t="s">
        <v>62</v>
      </c>
    </row>
    <row r="77" spans="2:10">
      <c r="B77" t="str">
        <f>B25&amp;" as a % of COGS"</f>
        <v>Accounts Payable as a % of COGS</v>
      </c>
      <c r="C77" s="16"/>
      <c r="D77" s="17">
        <f>C25/C72</f>
        <v>0.1960758476195496</v>
      </c>
      <c r="E77" s="17">
        <f>C25/C72</f>
        <v>0.1960758476195496</v>
      </c>
      <c r="F77" s="17">
        <f>C25/C72</f>
        <v>0.1960758476195496</v>
      </c>
      <c r="G77" s="17">
        <f>C25/C72</f>
        <v>0.1960758476195496</v>
      </c>
      <c r="H77" s="17">
        <f>C25/C72</f>
        <v>0.1960758476195496</v>
      </c>
      <c r="J77" s="31" t="s">
        <v>63</v>
      </c>
    </row>
    <row r="79" spans="2:10">
      <c r="B79" t="s">
        <v>28</v>
      </c>
      <c r="C79" s="13"/>
      <c r="D79" s="13">
        <v>40000</v>
      </c>
      <c r="E79" s="13">
        <f>D79</f>
        <v>40000</v>
      </c>
      <c r="F79" s="13">
        <f>E79</f>
        <v>40000</v>
      </c>
      <c r="G79" s="13">
        <f>F79</f>
        <v>40000</v>
      </c>
      <c r="H79" s="13">
        <f>G79</f>
        <v>40000</v>
      </c>
    </row>
    <row r="80" spans="2:10">
      <c r="B80" t="s">
        <v>64</v>
      </c>
      <c r="C80" s="19"/>
      <c r="D80" s="19">
        <v>7.0000000000000007E-2</v>
      </c>
      <c r="E80" s="19">
        <v>7.0000000000000007E-2</v>
      </c>
      <c r="F80" s="19">
        <v>7.0000000000000007E-2</v>
      </c>
      <c r="G80" s="19">
        <v>7.0000000000000007E-2</v>
      </c>
      <c r="H80" s="19">
        <v>7.0000000000000007E-2</v>
      </c>
    </row>
    <row r="81" spans="1:10">
      <c r="B81" t="s">
        <v>65</v>
      </c>
      <c r="C81" s="10"/>
      <c r="D81" s="10">
        <f>D79*D80</f>
        <v>2800.0000000000005</v>
      </c>
      <c r="E81" s="10">
        <f>E79*E80</f>
        <v>2800.0000000000005</v>
      </c>
      <c r="F81" s="10">
        <f>F79*F80</f>
        <v>2800.0000000000005</v>
      </c>
      <c r="G81" s="10">
        <f>G79*G80</f>
        <v>2800.0000000000005</v>
      </c>
      <c r="H81" s="10">
        <f>H79*H80</f>
        <v>2800.0000000000005</v>
      </c>
    </row>
    <row r="82" spans="1:10">
      <c r="B82" s="1"/>
      <c r="C82" s="20"/>
      <c r="D82" s="20"/>
      <c r="E82" s="20"/>
      <c r="F82" s="20"/>
      <c r="G82" s="20"/>
      <c r="H82" s="20"/>
    </row>
    <row r="83" spans="1:10">
      <c r="A83" t="s">
        <v>1</v>
      </c>
      <c r="B83" s="5" t="s">
        <v>66</v>
      </c>
      <c r="C83" s="5"/>
      <c r="D83" s="5"/>
      <c r="E83" s="5"/>
      <c r="F83" s="5"/>
      <c r="G83" s="5"/>
      <c r="H83" s="5"/>
    </row>
    <row r="84" spans="1:10">
      <c r="B84" s="26" t="s">
        <v>67</v>
      </c>
      <c r="C84" s="9"/>
      <c r="D84" s="9"/>
      <c r="E84" s="9"/>
      <c r="F84" s="9"/>
      <c r="G84" s="9"/>
      <c r="H84" s="9"/>
    </row>
    <row r="85" spans="1:10">
      <c r="B85" t="s">
        <v>68</v>
      </c>
      <c r="D85" s="13">
        <v>15000</v>
      </c>
      <c r="E85" s="13">
        <v>12000</v>
      </c>
      <c r="F85" s="13">
        <v>10000</v>
      </c>
      <c r="G85" s="13">
        <v>7500</v>
      </c>
      <c r="H85" s="13">
        <v>7500</v>
      </c>
    </row>
    <row r="87" spans="1:10">
      <c r="B87" t="s">
        <v>69</v>
      </c>
      <c r="C87" s="15">
        <v>10</v>
      </c>
    </row>
    <row r="88" spans="1:10">
      <c r="B88" t="s">
        <v>70</v>
      </c>
      <c r="C88" s="15">
        <v>10</v>
      </c>
    </row>
    <row r="89" spans="1:10">
      <c r="B89" t="s">
        <v>71</v>
      </c>
      <c r="C89" s="10">
        <f>C22</f>
        <v>48990</v>
      </c>
      <c r="D89" s="10">
        <f>C89-D100</f>
        <v>42591</v>
      </c>
      <c r="E89" s="10">
        <f>D89-E100</f>
        <v>34992</v>
      </c>
      <c r="F89" s="10">
        <f>E89-F100</f>
        <v>26393</v>
      </c>
      <c r="G89" s="10">
        <f>F89-G100</f>
        <v>17044</v>
      </c>
      <c r="H89" s="10">
        <f>G89-H100</f>
        <v>6945</v>
      </c>
    </row>
    <row r="91" spans="1:10">
      <c r="C91" s="1" t="s">
        <v>68</v>
      </c>
      <c r="D91" s="1">
        <v>2026</v>
      </c>
      <c r="E91" s="1">
        <v>2027</v>
      </c>
      <c r="F91" s="1">
        <v>2028</v>
      </c>
      <c r="G91" s="1">
        <v>2029</v>
      </c>
      <c r="H91" s="1">
        <v>2030</v>
      </c>
      <c r="J91" s="31" t="s">
        <v>72</v>
      </c>
    </row>
    <row r="92" spans="1:10">
      <c r="C92" s="10">
        <f t="array" ref="C92:C96">TRANSPOSE(D85:H85)</f>
        <v>15000</v>
      </c>
      <c r="D92" s="10">
        <f>$C92/$C$88</f>
        <v>1500</v>
      </c>
      <c r="E92" s="10">
        <f>$C92/$C$88</f>
        <v>1500</v>
      </c>
      <c r="F92" s="10">
        <f>$C92/$C$88</f>
        <v>1500</v>
      </c>
      <c r="G92" s="10">
        <f>$C92/$C$88</f>
        <v>1500</v>
      </c>
      <c r="H92" s="10">
        <f>$C92/$C$88</f>
        <v>1500</v>
      </c>
      <c r="J92" s="31" t="s">
        <v>73</v>
      </c>
    </row>
    <row r="93" spans="1:10">
      <c r="C93" s="10">
        <v>12000</v>
      </c>
      <c r="D93" s="10"/>
      <c r="E93" s="10">
        <f>$C93/$C$88</f>
        <v>1200</v>
      </c>
      <c r="F93" s="10">
        <f>$C93/$C$88</f>
        <v>1200</v>
      </c>
      <c r="G93" s="10">
        <f>$C93/$C$88</f>
        <v>1200</v>
      </c>
      <c r="H93" s="10">
        <f>$C93/$C$88</f>
        <v>1200</v>
      </c>
      <c r="J93" s="31" t="s">
        <v>74</v>
      </c>
    </row>
    <row r="94" spans="1:10">
      <c r="C94" s="10">
        <v>10000</v>
      </c>
      <c r="D94" s="10"/>
      <c r="E94" s="10"/>
      <c r="F94" s="10">
        <f>$C94/$C$88</f>
        <v>1000</v>
      </c>
      <c r="G94" s="10">
        <f>$C94/$C$88</f>
        <v>1000</v>
      </c>
      <c r="H94" s="10">
        <f>$C94/$C$88</f>
        <v>1000</v>
      </c>
    </row>
    <row r="95" spans="1:10">
      <c r="C95" s="10">
        <v>7500</v>
      </c>
      <c r="D95" s="10"/>
      <c r="E95" s="10"/>
      <c r="F95" s="10"/>
      <c r="G95" s="10">
        <f>$C95/$C$88</f>
        <v>750</v>
      </c>
      <c r="H95" s="10">
        <f>$C95/$C$88</f>
        <v>750</v>
      </c>
    </row>
    <row r="96" spans="1:10">
      <c r="C96" s="10">
        <v>7500</v>
      </c>
      <c r="D96" s="10"/>
      <c r="E96" s="10"/>
      <c r="F96" s="10"/>
      <c r="G96" s="10"/>
      <c r="H96" s="10">
        <f>$C96/$C$88</f>
        <v>750</v>
      </c>
    </row>
    <row r="98" spans="1:10">
      <c r="B98" t="s">
        <v>75</v>
      </c>
      <c r="D98" s="10">
        <f>C89/C88</f>
        <v>4899</v>
      </c>
      <c r="E98" s="10">
        <f>D98</f>
        <v>4899</v>
      </c>
      <c r="F98" s="10">
        <f>E98</f>
        <v>4899</v>
      </c>
      <c r="G98" s="10">
        <f>F98</f>
        <v>4899</v>
      </c>
      <c r="H98" s="10">
        <f>G98</f>
        <v>4899</v>
      </c>
    </row>
    <row r="99" spans="1:10">
      <c r="B99" t="s">
        <v>76</v>
      </c>
      <c r="D99" s="10">
        <f>SUM(D92:D96)</f>
        <v>1500</v>
      </c>
      <c r="E99" s="10">
        <f>SUM(E92:E96)</f>
        <v>2700</v>
      </c>
      <c r="F99" s="10">
        <f>SUM(F92:F96)</f>
        <v>3700</v>
      </c>
      <c r="G99" s="10">
        <f>SUM(G92:G96)</f>
        <v>4450</v>
      </c>
      <c r="H99" s="10">
        <f>SUM(H92:H96)</f>
        <v>5200</v>
      </c>
    </row>
    <row r="100" spans="1:10">
      <c r="B100" s="8" t="s">
        <v>77</v>
      </c>
      <c r="C100" s="8"/>
      <c r="D100" s="14">
        <f>SUM(D98:D99)</f>
        <v>6399</v>
      </c>
      <c r="E100" s="14">
        <f>SUM(E98:E99)</f>
        <v>7599</v>
      </c>
      <c r="F100" s="14">
        <f>SUM(F98:F99)</f>
        <v>8599</v>
      </c>
      <c r="G100" s="14">
        <f>SUM(G98:G99)</f>
        <v>9349</v>
      </c>
      <c r="H100" s="14">
        <f>SUM(H98:H99)</f>
        <v>10099</v>
      </c>
    </row>
    <row r="102" spans="1:10">
      <c r="B102" t="s">
        <v>78</v>
      </c>
      <c r="D102" s="10">
        <f>C22</f>
        <v>48990</v>
      </c>
      <c r="E102" s="10">
        <f>D105</f>
        <v>57591</v>
      </c>
      <c r="F102" s="10">
        <f>E105</f>
        <v>61992</v>
      </c>
      <c r="G102" s="10">
        <f>F105</f>
        <v>63393</v>
      </c>
      <c r="H102" s="10">
        <f>G105</f>
        <v>61544</v>
      </c>
      <c r="J102" s="31" t="s">
        <v>79</v>
      </c>
    </row>
    <row r="103" spans="1:10">
      <c r="B103" t="s">
        <v>68</v>
      </c>
      <c r="D103" s="10">
        <f>D85</f>
        <v>15000</v>
      </c>
      <c r="E103" s="10">
        <f>E85</f>
        <v>12000</v>
      </c>
      <c r="F103" s="10">
        <f>F85</f>
        <v>10000</v>
      </c>
      <c r="G103" s="10">
        <f>G85</f>
        <v>7500</v>
      </c>
      <c r="H103" s="10">
        <f>H85</f>
        <v>7500</v>
      </c>
    </row>
    <row r="104" spans="1:10">
      <c r="B104" t="s">
        <v>8</v>
      </c>
      <c r="D104" s="10">
        <f>-D100</f>
        <v>-6399</v>
      </c>
      <c r="E104" s="10">
        <f>-E100</f>
        <v>-7599</v>
      </c>
      <c r="F104" s="10">
        <f>-F100</f>
        <v>-8599</v>
      </c>
      <c r="G104" s="10">
        <f>-G100</f>
        <v>-9349</v>
      </c>
      <c r="H104" s="10">
        <f>-H100</f>
        <v>-10099</v>
      </c>
    </row>
    <row r="105" spans="1:10">
      <c r="B105" s="3" t="s">
        <v>80</v>
      </c>
      <c r="C105" s="11"/>
      <c r="D105" s="11">
        <f>SUM(D102:D104)</f>
        <v>57591</v>
      </c>
      <c r="E105" s="11">
        <f>SUM(E102:E104)</f>
        <v>61992</v>
      </c>
      <c r="F105" s="11">
        <f>SUM(F102:F104)</f>
        <v>63393</v>
      </c>
      <c r="G105" s="11">
        <f>SUM(G102:G104)</f>
        <v>61544</v>
      </c>
      <c r="H105" s="11">
        <f>SUM(H102:H104)</f>
        <v>58945</v>
      </c>
    </row>
    <row r="107" spans="1:10">
      <c r="A107" t="s">
        <v>1</v>
      </c>
      <c r="B107" s="26" t="s">
        <v>81</v>
      </c>
      <c r="C107" s="9"/>
      <c r="D107" s="9"/>
      <c r="E107" s="9"/>
      <c r="F107" s="9"/>
      <c r="G107" s="9"/>
      <c r="H107" s="9"/>
    </row>
    <row r="108" spans="1:10">
      <c r="B108" t="s">
        <v>82</v>
      </c>
      <c r="C108" s="10"/>
      <c r="D108" s="10">
        <f>C33</f>
        <v>2155</v>
      </c>
      <c r="E108" s="10">
        <f>D111</f>
        <v>19366.234000000004</v>
      </c>
      <c r="F108" s="10">
        <f>E111</f>
        <v>34853.390200000016</v>
      </c>
      <c r="G108" s="10">
        <f>F111</f>
        <v>54925.736450000026</v>
      </c>
      <c r="H108" s="10">
        <f>G111</f>
        <v>75576.440575000015</v>
      </c>
    </row>
    <row r="109" spans="1:10">
      <c r="B109" t="s">
        <v>13</v>
      </c>
      <c r="C109" s="10"/>
      <c r="D109" s="10">
        <f>D14</f>
        <v>27211.234000000004</v>
      </c>
      <c r="E109" s="10">
        <f>E14</f>
        <v>27987.156200000012</v>
      </c>
      <c r="F109" s="10">
        <f>F14</f>
        <v>35072.346250000002</v>
      </c>
      <c r="G109" s="10">
        <f>G14</f>
        <v>40650.704124999997</v>
      </c>
      <c r="H109" s="10">
        <f>H14</f>
        <v>42702.857499999998</v>
      </c>
    </row>
    <row r="110" spans="1:10">
      <c r="B110" t="s">
        <v>47</v>
      </c>
      <c r="C110" s="10"/>
      <c r="D110" s="13">
        <v>-10000</v>
      </c>
      <c r="E110" s="13">
        <v>-12500</v>
      </c>
      <c r="F110" s="13">
        <v>-15000</v>
      </c>
      <c r="G110" s="13">
        <v>-20000</v>
      </c>
      <c r="H110" s="13">
        <v>-25000</v>
      </c>
    </row>
    <row r="111" spans="1:10">
      <c r="B111" s="8" t="s">
        <v>83</v>
      </c>
      <c r="C111" s="14"/>
      <c r="D111" s="14">
        <f>SUM(D108:D110)</f>
        <v>19366.234000000004</v>
      </c>
      <c r="E111" s="14">
        <f>SUM(E108:E110)</f>
        <v>34853.390200000016</v>
      </c>
      <c r="F111" s="14">
        <f>SUM(F108:F110)</f>
        <v>54925.736450000026</v>
      </c>
      <c r="G111" s="14">
        <f>SUM(G108:G110)</f>
        <v>75576.440575000015</v>
      </c>
      <c r="H111" s="14">
        <f>SUM(H108:H110)</f>
        <v>93279.298075000013</v>
      </c>
    </row>
    <row r="113" spans="1:9">
      <c r="A113" t="s">
        <v>1</v>
      </c>
      <c r="B113" s="5" t="s">
        <v>25</v>
      </c>
      <c r="C113" s="5"/>
      <c r="D113" s="5"/>
      <c r="E113" s="5"/>
      <c r="F113" s="5"/>
      <c r="G113" s="5"/>
      <c r="H113" s="5"/>
    </row>
    <row r="114" spans="1:9">
      <c r="B114" s="26" t="s">
        <v>84</v>
      </c>
      <c r="C114" s="9"/>
      <c r="D114" s="9"/>
      <c r="E114" s="9"/>
      <c r="F114" s="9"/>
      <c r="G114" s="9"/>
      <c r="H114" s="9"/>
    </row>
    <row r="115" spans="1:9">
      <c r="B115" t="s">
        <v>85</v>
      </c>
      <c r="D115" s="10">
        <f>C18</f>
        <v>14589</v>
      </c>
      <c r="E115" s="10">
        <f>D121</f>
        <v>21534.405428426988</v>
      </c>
      <c r="F115" s="10">
        <f>E121</f>
        <v>32358.520199848354</v>
      </c>
      <c r="G115" s="10">
        <f>F121</f>
        <v>50080.897089531209</v>
      </c>
      <c r="H115" s="10">
        <f>G121</f>
        <v>71830.97172667057</v>
      </c>
    </row>
    <row r="116" spans="1:9">
      <c r="B116" t="s">
        <v>86</v>
      </c>
      <c r="D116" s="10">
        <f>D46</f>
        <v>31945.405428426988</v>
      </c>
      <c r="E116" s="10">
        <f>E46</f>
        <v>35324.114771421366</v>
      </c>
      <c r="F116" s="10">
        <f>F46</f>
        <v>42722.376889682855</v>
      </c>
      <c r="G116" s="10">
        <f>G46</f>
        <v>49250.074637139362</v>
      </c>
      <c r="H116" s="10">
        <f>H46</f>
        <v>52422.832823772129</v>
      </c>
    </row>
    <row r="117" spans="1:9">
      <c r="B117" t="s">
        <v>87</v>
      </c>
      <c r="D117" s="10">
        <f>D49</f>
        <v>-15000</v>
      </c>
      <c r="E117" s="10">
        <f>E49</f>
        <v>-12000</v>
      </c>
      <c r="F117" s="10">
        <f>F49</f>
        <v>-10000</v>
      </c>
      <c r="G117" s="10">
        <f>G49</f>
        <v>-7500</v>
      </c>
      <c r="H117" s="10">
        <f>H49</f>
        <v>-7500</v>
      </c>
    </row>
    <row r="118" spans="1:9">
      <c r="B118" t="s">
        <v>44</v>
      </c>
      <c r="D118" s="10">
        <f>0</f>
        <v>0</v>
      </c>
      <c r="E118" s="10">
        <f>0</f>
        <v>0</v>
      </c>
      <c r="F118" s="10">
        <f>0</f>
        <v>0</v>
      </c>
      <c r="G118" s="10">
        <f>0</f>
        <v>0</v>
      </c>
      <c r="H118" s="10">
        <f>0</f>
        <v>0</v>
      </c>
    </row>
    <row r="119" spans="1:9">
      <c r="B119" t="s">
        <v>46</v>
      </c>
      <c r="D119" s="10">
        <f>0</f>
        <v>0</v>
      </c>
      <c r="E119" s="10">
        <f>0</f>
        <v>0</v>
      </c>
      <c r="F119" s="10">
        <f>0</f>
        <v>0</v>
      </c>
      <c r="G119" s="10">
        <f>0</f>
        <v>0</v>
      </c>
      <c r="H119" s="10">
        <f>0</f>
        <v>0</v>
      </c>
    </row>
    <row r="120" spans="1:9">
      <c r="B120" t="s">
        <v>47</v>
      </c>
      <c r="D120" s="10">
        <f>D110</f>
        <v>-10000</v>
      </c>
      <c r="E120" s="10">
        <f>E110</f>
        <v>-12500</v>
      </c>
      <c r="F120" s="10">
        <f>F110</f>
        <v>-15000</v>
      </c>
      <c r="G120" s="10">
        <f>G110</f>
        <v>-20000</v>
      </c>
      <c r="H120" s="10">
        <f>H110</f>
        <v>-25000</v>
      </c>
    </row>
    <row r="121" spans="1:9">
      <c r="B121" s="8" t="s">
        <v>88</v>
      </c>
      <c r="C121" s="8"/>
      <c r="D121" s="14">
        <f>SUM(D115:D120)</f>
        <v>21534.405428426988</v>
      </c>
      <c r="E121" s="14">
        <f>SUM(E115:E120)</f>
        <v>32358.520199848354</v>
      </c>
      <c r="F121" s="14">
        <f>SUM(F115:F120)</f>
        <v>50080.897089531209</v>
      </c>
      <c r="G121" s="14">
        <f>SUM(G115:G120)</f>
        <v>71830.97172667057</v>
      </c>
      <c r="H121" s="14">
        <f>SUM(H115:H120)</f>
        <v>91753.804550442699</v>
      </c>
    </row>
    <row r="123" spans="1:9">
      <c r="B123" s="26" t="s">
        <v>25</v>
      </c>
      <c r="C123" s="9"/>
      <c r="D123" s="9"/>
      <c r="E123" s="9"/>
      <c r="F123" s="9"/>
      <c r="G123" s="9"/>
      <c r="H123" s="9"/>
    </row>
    <row r="124" spans="1:9">
      <c r="B124" t="s">
        <v>89</v>
      </c>
      <c r="D124" s="10">
        <f>C26</f>
        <v>0</v>
      </c>
      <c r="E124" s="10">
        <f>D126</f>
        <v>0</v>
      </c>
      <c r="F124" s="10">
        <f>E126</f>
        <v>0</v>
      </c>
      <c r="G124" s="10">
        <f>F126</f>
        <v>0</v>
      </c>
      <c r="H124" s="10">
        <f>G126</f>
        <v>0</v>
      </c>
    </row>
    <row r="125" spans="1:9">
      <c r="B125" t="s">
        <v>45</v>
      </c>
      <c r="D125" s="10">
        <f>IF(D121&lt;0,-D121,-MIN(D124,D121))</f>
        <v>0</v>
      </c>
      <c r="E125" s="10">
        <f>IF(E121&lt;0,-E121,-MIN(E124,E121))</f>
        <v>0</v>
      </c>
      <c r="F125" s="10">
        <f>IF(F121&lt;0,-F121,-MIN(F124,F121))</f>
        <v>0</v>
      </c>
      <c r="G125" s="10">
        <f>IF(G121&lt;0,-G121,-MIN(G124,G121))</f>
        <v>0</v>
      </c>
      <c r="H125" s="10">
        <f>IF(H121&lt;0,-H121,-MIN(H124,H121))</f>
        <v>0</v>
      </c>
      <c r="I125" s="10"/>
    </row>
    <row r="126" spans="1:9">
      <c r="B126" s="8" t="s">
        <v>90</v>
      </c>
      <c r="C126" s="14"/>
      <c r="D126" s="14">
        <f>MAX(0,D124+D125)</f>
        <v>0</v>
      </c>
      <c r="E126" s="14">
        <f>MAX(0,E124+E125)</f>
        <v>0</v>
      </c>
      <c r="F126" s="14">
        <f>MAX(0,F124+F125)</f>
        <v>0</v>
      </c>
      <c r="G126" s="14">
        <f>MAX(0,G124+G125)</f>
        <v>0</v>
      </c>
      <c r="H126" s="14">
        <f>MAX(0,H124+H125)</f>
        <v>0</v>
      </c>
    </row>
    <row r="128" spans="1:9">
      <c r="B128" t="s">
        <v>91</v>
      </c>
      <c r="D128" s="18">
        <v>0.05</v>
      </c>
      <c r="E128" s="18">
        <v>0.05</v>
      </c>
      <c r="F128" s="18">
        <v>0.05</v>
      </c>
      <c r="G128" s="18">
        <v>0.05</v>
      </c>
      <c r="H128" s="18">
        <v>0.05</v>
      </c>
    </row>
    <row r="129" spans="1:8">
      <c r="B129" t="s">
        <v>65</v>
      </c>
      <c r="D129" s="10">
        <f>D124*D128</f>
        <v>0</v>
      </c>
      <c r="E129" s="10">
        <f>E124*E128</f>
        <v>0</v>
      </c>
      <c r="F129" s="10">
        <f>F124*F128</f>
        <v>0</v>
      </c>
      <c r="G129" s="10">
        <f>G124*G128</f>
        <v>0</v>
      </c>
      <c r="H129" s="10">
        <f>H124*H128</f>
        <v>0</v>
      </c>
    </row>
    <row r="130" spans="1:8">
      <c r="A130" t="s">
        <v>1</v>
      </c>
      <c r="B130" s="8" t="s">
        <v>92</v>
      </c>
      <c r="C130" s="14"/>
      <c r="D130" s="14">
        <f>D81+D129</f>
        <v>2800.0000000000005</v>
      </c>
      <c r="E130" s="14">
        <f>E81+E129</f>
        <v>2800.0000000000005</v>
      </c>
      <c r="F130" s="14">
        <f>F81+F129</f>
        <v>2800.0000000000005</v>
      </c>
      <c r="G130" s="14">
        <f>G81+G129</f>
        <v>2800.0000000000005</v>
      </c>
      <c r="H130" s="14">
        <f>H81+H129</f>
        <v>2800.0000000000005</v>
      </c>
    </row>
    <row r="131" spans="1:8">
      <c r="C131" s="1"/>
      <c r="D131" s="1"/>
      <c r="E131" s="1"/>
    </row>
    <row r="132" spans="1:8">
      <c r="C132" s="80" t="s">
        <v>111</v>
      </c>
      <c r="D132" s="80"/>
      <c r="E132" s="80"/>
      <c r="F132" s="80"/>
    </row>
    <row r="133" spans="1:8">
      <c r="B133" s="39"/>
      <c r="C133" s="1"/>
      <c r="D133" s="41" t="s">
        <v>93</v>
      </c>
      <c r="E133" s="42"/>
      <c r="F133" s="42"/>
    </row>
    <row r="134" spans="1:8">
      <c r="B134" s="40" t="s">
        <v>94</v>
      </c>
      <c r="C134" s="38">
        <f>H14</f>
        <v>42702.857499999998</v>
      </c>
      <c r="D134" s="37">
        <v>0.37</v>
      </c>
      <c r="E134" s="37">
        <v>0.38</v>
      </c>
      <c r="F134" s="37">
        <v>0.39</v>
      </c>
    </row>
    <row r="135" spans="1:8">
      <c r="B135" s="43" t="s">
        <v>54</v>
      </c>
      <c r="C135">
        <v>490</v>
      </c>
      <c r="D135" s="38">
        <f t="dataTable" ref="D135:F137" dt2D="1" dtr="1" r1="H66" r2="H63"/>
        <v>43564.818600000021</v>
      </c>
      <c r="E135" s="38">
        <v>41644.996149999999</v>
      </c>
      <c r="F135" s="38">
        <v>39725.173700000021</v>
      </c>
    </row>
    <row r="136" spans="1:8">
      <c r="B136" s="42"/>
      <c r="C136">
        <v>500</v>
      </c>
      <c r="D136" s="38">
        <v>44661.86</v>
      </c>
      <c r="E136" s="38">
        <v>42702.857499999998</v>
      </c>
      <c r="F136" s="38">
        <v>40743.854999999996</v>
      </c>
    </row>
    <row r="137" spans="1:8">
      <c r="B137" s="42"/>
      <c r="C137">
        <v>510</v>
      </c>
      <c r="D137" s="38">
        <v>45758.901399999988</v>
      </c>
      <c r="E137" s="38">
        <v>43760.718850000012</v>
      </c>
      <c r="F137" s="38">
        <v>41762.536299999992</v>
      </c>
    </row>
    <row r="138" spans="1:8" s="1" customFormat="1"/>
    <row r="140" spans="1:8">
      <c r="B140" s="10"/>
      <c r="C140" s="37"/>
      <c r="D140" s="37"/>
      <c r="E140" s="37"/>
    </row>
    <row r="141" spans="1:8">
      <c r="C141" s="38"/>
      <c r="D141" s="38"/>
      <c r="E141" s="38"/>
    </row>
    <row r="142" spans="1:8">
      <c r="C142" s="38"/>
      <c r="D142" s="38"/>
      <c r="E142" s="38"/>
    </row>
    <row r="143" spans="1:8">
      <c r="C143" s="38"/>
      <c r="D143" s="38"/>
      <c r="E143" s="38"/>
    </row>
    <row r="161" spans="1:1">
      <c r="A161" t="s">
        <v>1</v>
      </c>
    </row>
  </sheetData>
  <mergeCells count="4">
    <mergeCell ref="D133:F133"/>
    <mergeCell ref="B135:B137"/>
    <mergeCell ref="C132:F132"/>
    <mergeCell ref="I32:J32"/>
  </mergeCells>
  <conditionalFormatting sqref="C141:E14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5:F1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1200" verticalDpi="12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showGridLines="0" workbookViewId="0">
      <selection sqref="A1:E1"/>
    </sheetView>
  </sheetViews>
  <sheetFormatPr defaultRowHeight="15.6"/>
  <cols>
    <col min="1" max="1" width="25.796875" customWidth="1"/>
    <col min="2" max="2" width="9.19921875" customWidth="1"/>
    <col min="3" max="5" width="16.69921875" customWidth="1"/>
  </cols>
  <sheetData>
    <row r="1" spans="1:5" ht="30" customHeight="1" thickBot="1">
      <c r="A1" s="64" t="s">
        <v>95</v>
      </c>
      <c r="B1" s="65"/>
      <c r="C1" s="65"/>
      <c r="D1" s="65"/>
      <c r="E1" s="65"/>
    </row>
    <row r="2" spans="1:5" ht="22.05" customHeight="1" thickTop="1"/>
    <row r="3" spans="1:5" ht="27" customHeight="1">
      <c r="A3" s="62" t="s">
        <v>94</v>
      </c>
      <c r="B3" s="63"/>
      <c r="C3" s="63"/>
      <c r="D3" s="66">
        <f>statements!H14</f>
        <v>42702.857499999998</v>
      </c>
    </row>
    <row r="4" spans="1:5" ht="22.05" customHeight="1"/>
    <row r="5" spans="1:5" ht="28.05" customHeight="1">
      <c r="A5" s="47" t="s">
        <v>96</v>
      </c>
      <c r="B5" s="48"/>
      <c r="C5" s="48" t="s">
        <v>98</v>
      </c>
      <c r="D5" s="48" t="s">
        <v>99</v>
      </c>
      <c r="E5" s="49" t="s">
        <v>100</v>
      </c>
    </row>
    <row r="6" spans="1:5" ht="30" customHeight="1" thickBot="1">
      <c r="A6" s="50" t="s">
        <v>101</v>
      </c>
      <c r="B6" s="44" t="s">
        <v>97</v>
      </c>
      <c r="C6" s="53">
        <f>statements!D135</f>
        <v>43564.818600000021</v>
      </c>
      <c r="D6" s="54">
        <f>statements!E135</f>
        <v>41644.996149999999</v>
      </c>
      <c r="E6" s="55">
        <f>statements!F135</f>
        <v>39725.173700000021</v>
      </c>
    </row>
    <row r="7" spans="1:5" ht="30" customHeight="1">
      <c r="A7" s="51" t="s">
        <v>102</v>
      </c>
      <c r="B7" s="45"/>
      <c r="C7" s="56">
        <f xml:space="preserve"> statements!D136</f>
        <v>44661.86</v>
      </c>
      <c r="D7" s="57">
        <f>statements!E136</f>
        <v>42702.857499999998</v>
      </c>
      <c r="E7" s="58">
        <f>statements!F136</f>
        <v>40743.854999999996</v>
      </c>
    </row>
    <row r="8" spans="1:5" ht="30" customHeight="1">
      <c r="A8" s="52" t="s">
        <v>103</v>
      </c>
      <c r="B8" s="46"/>
      <c r="C8" s="59">
        <f>statements!D137</f>
        <v>45758.901399999988</v>
      </c>
      <c r="D8" s="60">
        <f>statements!E137</f>
        <v>43760.718850000012</v>
      </c>
      <c r="E8" s="61">
        <f>statements!F137</f>
        <v>41762.536299999992</v>
      </c>
    </row>
  </sheetData>
  <mergeCells count="3">
    <mergeCell ref="A1:E1"/>
    <mergeCell ref="B6:B8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showGridLines="0" workbookViewId="0">
      <selection sqref="A1:G1"/>
    </sheetView>
  </sheetViews>
  <sheetFormatPr defaultRowHeight="15.6"/>
  <cols>
    <col min="1" max="1" width="34.19921875" customWidth="1"/>
    <col min="2" max="7" width="16.69921875" customWidth="1"/>
  </cols>
  <sheetData>
    <row r="1" spans="1:7" ht="34.049999999999997" customHeight="1">
      <c r="A1" s="73" t="s">
        <v>104</v>
      </c>
      <c r="B1" s="74"/>
      <c r="C1" s="74"/>
      <c r="D1" s="74"/>
      <c r="E1" s="74"/>
      <c r="F1" s="74"/>
      <c r="G1" s="74"/>
    </row>
    <row r="3" spans="1:7" ht="27" customHeight="1">
      <c r="A3" s="67" t="s">
        <v>105</v>
      </c>
      <c r="B3" s="67">
        <v>2025</v>
      </c>
      <c r="C3" s="67">
        <v>2026</v>
      </c>
      <c r="D3" s="67">
        <v>2027</v>
      </c>
      <c r="E3" s="67">
        <v>2028</v>
      </c>
      <c r="F3" s="67">
        <v>2029</v>
      </c>
      <c r="G3" s="67">
        <v>2030</v>
      </c>
    </row>
    <row r="4" spans="1:7" ht="27" customHeight="1">
      <c r="A4" s="75" t="s">
        <v>89</v>
      </c>
      <c r="B4" s="68">
        <f>statements!C29</f>
        <v>40000</v>
      </c>
      <c r="C4" s="68">
        <f>B7</f>
        <v>40000</v>
      </c>
      <c r="D4" s="68">
        <f>C7</f>
        <v>40000</v>
      </c>
      <c r="E4" s="68">
        <f>D7</f>
        <v>40000</v>
      </c>
      <c r="F4" s="68">
        <f>E7</f>
        <v>40000</v>
      </c>
      <c r="G4" s="68">
        <f>F7</f>
        <v>40000</v>
      </c>
    </row>
    <row r="5" spans="1:7" ht="27" customHeight="1">
      <c r="A5" s="75" t="s">
        <v>106</v>
      </c>
      <c r="B5" s="69">
        <v>0</v>
      </c>
      <c r="C5" s="69">
        <v>0</v>
      </c>
      <c r="D5" s="69">
        <v>0</v>
      </c>
      <c r="E5" s="69">
        <v>0</v>
      </c>
      <c r="F5" s="69">
        <v>0</v>
      </c>
      <c r="G5" s="69">
        <v>0</v>
      </c>
    </row>
    <row r="6" spans="1:7" ht="27" customHeight="1" thickBot="1">
      <c r="A6" s="75" t="s">
        <v>107</v>
      </c>
      <c r="B6" s="70">
        <v>0</v>
      </c>
      <c r="C6" s="70">
        <v>0</v>
      </c>
      <c r="D6" s="70">
        <v>0</v>
      </c>
      <c r="E6" s="70">
        <v>0</v>
      </c>
      <c r="F6" s="70">
        <v>0</v>
      </c>
      <c r="G6" s="70">
        <v>0</v>
      </c>
    </row>
    <row r="7" spans="1:7" ht="27" customHeight="1" thickBot="1">
      <c r="A7" s="76" t="s">
        <v>90</v>
      </c>
      <c r="B7" s="71">
        <f t="shared" ref="B7:G7" si="0">B4+B5-B6</f>
        <v>40000</v>
      </c>
      <c r="C7" s="71">
        <f t="shared" si="0"/>
        <v>40000</v>
      </c>
      <c r="D7" s="71">
        <f t="shared" si="0"/>
        <v>40000</v>
      </c>
      <c r="E7" s="71">
        <f t="shared" si="0"/>
        <v>40000</v>
      </c>
      <c r="F7" s="71">
        <f t="shared" si="0"/>
        <v>40000</v>
      </c>
      <c r="G7" s="71">
        <f t="shared" si="0"/>
        <v>40000</v>
      </c>
    </row>
    <row r="8" spans="1:7" ht="16.2" thickTop="1"/>
    <row r="9" spans="1:7" ht="28.95" customHeight="1">
      <c r="A9" s="77" t="s">
        <v>108</v>
      </c>
      <c r="B9" s="78"/>
      <c r="C9" s="79"/>
      <c r="D9" s="79"/>
      <c r="E9" s="79"/>
      <c r="F9" s="79"/>
      <c r="G9" s="79"/>
    </row>
    <row r="11" spans="1:7" ht="27" customHeight="1">
      <c r="A11" s="75" t="s">
        <v>109</v>
      </c>
      <c r="B11" s="68">
        <f t="shared" ref="B11:G11" si="1">B4</f>
        <v>40000</v>
      </c>
      <c r="C11" s="68">
        <f t="shared" si="1"/>
        <v>40000</v>
      </c>
      <c r="D11" s="68">
        <f t="shared" si="1"/>
        <v>40000</v>
      </c>
      <c r="E11" s="68">
        <f t="shared" si="1"/>
        <v>40000</v>
      </c>
      <c r="F11" s="68">
        <f t="shared" si="1"/>
        <v>40000</v>
      </c>
      <c r="G11" s="68">
        <f t="shared" si="1"/>
        <v>40000</v>
      </c>
    </row>
    <row r="12" spans="1:7" ht="27" customHeight="1" thickBot="1">
      <c r="A12" s="75" t="s">
        <v>110</v>
      </c>
      <c r="B12" s="72">
        <f>statements!D80</f>
        <v>7.0000000000000007E-2</v>
      </c>
      <c r="C12" s="72">
        <f>statements!D80</f>
        <v>7.0000000000000007E-2</v>
      </c>
      <c r="D12" s="72">
        <f>statements!D80</f>
        <v>7.0000000000000007E-2</v>
      </c>
      <c r="E12" s="72">
        <f>statements!D80</f>
        <v>7.0000000000000007E-2</v>
      </c>
      <c r="F12" s="72">
        <f>statements!D80</f>
        <v>7.0000000000000007E-2</v>
      </c>
      <c r="G12" s="72">
        <f>statements!D80</f>
        <v>7.0000000000000007E-2</v>
      </c>
    </row>
    <row r="13" spans="1:7" ht="27" customHeight="1" thickBot="1">
      <c r="A13" s="76" t="s">
        <v>65</v>
      </c>
      <c r="B13" s="71">
        <f t="shared" ref="B13:G13" si="2">B11*B12</f>
        <v>2800.0000000000005</v>
      </c>
      <c r="C13" s="71">
        <f t="shared" si="2"/>
        <v>2800.0000000000005</v>
      </c>
      <c r="D13" s="71">
        <f t="shared" si="2"/>
        <v>2800.0000000000005</v>
      </c>
      <c r="E13" s="71">
        <f t="shared" si="2"/>
        <v>2800.0000000000005</v>
      </c>
      <c r="F13" s="71">
        <f t="shared" si="2"/>
        <v>2800.0000000000005</v>
      </c>
      <c r="G13" s="71">
        <f t="shared" si="2"/>
        <v>2800.0000000000005</v>
      </c>
    </row>
    <row r="14" spans="1:7" ht="16.2" thickTop="1"/>
  </sheetData>
  <mergeCells count="2">
    <mergeCell ref="A9:B9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statements</vt:lpstr>
      <vt:lpstr>Sensitivity Analysis</vt:lpstr>
      <vt:lpstr>Debt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Agampreet Waan</cp:lastModifiedBy>
  <cp:lastPrinted>2024-05-28T14:46:58Z</cp:lastPrinted>
  <dcterms:created xsi:type="dcterms:W3CDTF">2023-10-04T09:06:02Z</dcterms:created>
  <dcterms:modified xsi:type="dcterms:W3CDTF">2026-09-13T08:16:00Z</dcterms:modified>
</cp:coreProperties>
</file>